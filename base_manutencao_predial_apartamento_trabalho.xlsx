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e9fbd5cd345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635cbb8bcad47b0"/>
    <x:sheet xmlns:r="http://schemas.openxmlformats.org/officeDocument/2006/relationships" name="Planilha1" sheetId="2" r:id="Rb1080b33d03944f2"/>
    <x:sheet xmlns:r="http://schemas.openxmlformats.org/officeDocument/2006/relationships" name="Ativos" sheetId="3" r:id="R463373405cbc4b68"/>
    <x:sheet xmlns:r="http://schemas.openxmlformats.org/officeDocument/2006/relationships" name="Ambientes" sheetId="4" r:id="R7e519cd735cf4a4e"/>
    <x:sheet xmlns:r="http://schemas.openxmlformats.org/officeDocument/2006/relationships" name="Sistemas" sheetId="5" r:id="R6d166f7313cb486a"/>
    <x:sheet xmlns:r="http://schemas.openxmlformats.org/officeDocument/2006/relationships" name="Rotinas" sheetId="6" r:id="R2a871a2bfc1a4b99"/>
    <x:sheet xmlns:r="http://schemas.openxmlformats.org/officeDocument/2006/relationships" name="Cronograma" sheetId="7" r:id="Rba63d85b8b584344"/>
    <x:sheet xmlns:r="http://schemas.openxmlformats.org/officeDocument/2006/relationships" name="Listas" sheetId="8" r:id="R388d40c0996f4040"/>
  </x:sheets>
  <x:definedNames>
    <x:definedName name="Sub">OFFSET(TabelaSistemas[[#Headers],[Subsistema]],MATCH(Ativos!$F1,TabelaSistemas[Sistema],0),0,COUNTIF(TabelaSistemas[Sistema],Ativos!$F1),1)</x:definedName>
  </x:definedNames>
</x:workbook>
</file>

<file path=xl/metadata1.xml><?xml version="1.0" encoding="utf-8"?>
<x:metadata xmlns:x="http://schemas.openxmlformats.org/spreadsheetml/2006/main">
  <x:metadataTypes count="2">
    <x:metadataType name="XLDAPR" minSupportedVersion="120000" copy="1" pasteAll="1" pasteValues="1" merge="1" splitFirst="1" rowColShift="1" clearFormats="1" clearComments="1" assign="1" coerce="1" cellMeta="1"/>
    <x:metadataType name="XLRICHVALUE" minSupportedVersion="120000" copy="1" pasteAll="1" pasteValues="1" merge="1" splitFirst="1" rowColShift="1" clearFormats="1" clearComments="1" assign="1" coerce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futureMetadata name="XLRICHVALUE" count="1">
    <x:bk>
      <x:extLst>
        <x:ext uri="{3e2802c4-a4d2-4d8b-9148-e3be6c30e623}"/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<x:sst xmlns:x="http://schemas.openxmlformats.org/spreadsheetml/2006/main">
  <x:si>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MVP Manutenção Predial — Apartamento / Estudo de Caso</x:t>
  </x:si>
  <x:si>
    <x:t xml:space="preserve">Indicador</x:t>
  </x:si>
  <x:si>
    <x:t xml:space="preserve">Valor</x:t>
  </x:si>
  <x:si>
    <x:t xml:space="preserve">Custo por sistema</x:t>
  </x:si>
  <x:si>
    <x:t xml:space="preserve">Custo por ambiente</x:t>
  </x:si>
  <x:si>
    <x:t xml:space="preserve">Total de ativos cadastrados</x:t>
  </x:si>
  <x:si>
    <x:t xml:space="preserve">Sistema</x:t>
  </x:si>
  <x:si>
    <x:t xml:space="preserve">Custo previsto</x:t>
  </x:si>
  <x:si>
    <x:t xml:space="preserve">Ambiente</x:t>
  </x:si>
  <x:si>
    <x:t xml:space="preserve">Custo total previsto</x:t>
  </x:si>
  <x:si>
    <x:t xml:space="preserve">Climatização</x:t>
  </x:si>
  <x:si>
    <x:t xml:space="preserve">Suíte 1</x:t>
  </x:si>
  <x:si>
    <x:t xml:space="preserve">Itens vencidos</x:t>
  </x:si>
  <x:si>
    <x:t xml:space="preserve">Drenagem</x:t>
  </x:si>
  <x:si>
    <x:t xml:space="preserve">Banheiro suíte 1</x:t>
  </x:si>
  <x:si>
    <x:t xml:space="preserve">Próximos 30 dias</x:t>
  </x:si>
  <x:si>
    <x:t xml:space="preserve">Elétrico</x:t>
  </x:si>
  <x:si>
    <x:t xml:space="preserve">Suíte 2</x:t>
  </x:si>
  <x:si>
    <x:t xml:space="preserve">Próximos 90 dias</x:t>
  </x:si>
  <x:si>
    <x:t xml:space="preserve">Esgoto</x:t>
  </x:si>
  <x:si>
    <x:t xml:space="preserve">Banheiro suíte 2</x:t>
  </x:si>
  <x:si>
    <x:t xml:space="preserve">Esquadrias</x:t>
  </x:si>
  <x:si>
    <x:t xml:space="preserve">Suíte 3</x:t>
  </x:si>
  <x:si>
    <x:t xml:space="preserve">Gás</x:t>
  </x:si>
  <x:si>
    <x:t xml:space="preserve">Banheiro suíte 3</x:t>
  </x:si>
  <x:si>
    <x:t xml:space="preserve">Custo por ano</x:t>
  </x:si>
  <x:si>
    <x:t xml:space="preserve">Hidráulico</x:t>
  </x:si>
  <x:si>
    <x:t xml:space="preserve">Escritório 1</x:t>
  </x:si>
  <x:si>
    <x:t xml:space="preserve">Ano</x:t>
  </x:si>
  <x:si>
    <x:t xml:space="preserve">Gasto previsto</x:t>
  </x:si>
  <x:si>
    <x:t xml:space="preserve">Iluminação</x:t>
  </x:si>
  <x:si>
    <x:t xml:space="preserve">Escritório 2</x:t>
  </x:si>
  <x:si>
    <x:t xml:space="preserve">Marcenaria</x:t>
  </x:si>
  <x:si>
    <x:t xml:space="preserve">Sala</x:t>
  </x:si>
  <x:si>
    <x:t xml:space="preserve">Pintura</x:t>
  </x:si>
  <x:si>
    <x:t xml:space="preserve">Varanda</x:t>
  </x:si>
  <x:si>
    <x:t xml:space="preserve">Revestimentos</x:t>
  </x:si>
  <x:si>
    <x:t xml:space="preserve">Lavabo</x:t>
  </x:si>
  <x:si>
    <x:t xml:space="preserve">Segurança/acesso</x:t>
  </x:si>
  <x:si>
    <x:t xml:space="preserve">Copa/cozinha</x:t>
  </x:si>
  <x:si>
    <x:t xml:space="preserve">Área de serviço</x:t>
  </x:si>
  <x:si>
    <x:t xml:space="preserve">Suíte dependência</x:t>
  </x:si>
  <x:si>
    <x:t xml:space="preserve">criar gantt com custos</x:t>
  </x:si>
  <x:si>
    <x:t xml:space="preserve">Banheiro dependência</x:t>
  </x:si>
  <x:si>
    <x:t xml:space="preserve">total</x:t>
  </x:si>
  <x:si>
    <x:t xml:space="preserve">contribuicao por ano</x:t>
  </x:si>
  <x:si>
    <x:t xml:space="preserve">aporte mensal</x:t>
  </x:si>
  <x:si>
    <x:t xml:space="preserve">valor mensal</x:t>
  </x:si>
  <x:si>
    <x:t xml:space="preserve">periodo</x:t>
  </x:si>
  <x:si>
    <x:t xml:space="preserve">acumulado futuro</x:t>
  </x:si>
  <x:si>
    <x:t xml:space="preserve">por condomino</x:t>
  </x:si>
  <x:si>
    <x:t xml:space="preserve">arrecadacao anual</x:t>
  </x:si>
  <x:si>
    <x:t xml:space="preserve">saldo</x:t>
  </x:si>
  <x:si>
    <x:t xml:space="preserve">Como usar esta planilha</x:t>
  </x:si>
  <x:si>
    <x:t xml:space="preserve">1. Preencha a aba Ativos, uma linha por componente manutenível.</x:t>
  </x:si>
  <x:si>
    <x:t xml:space="preserve">2. Cadastre novos cômodos em Ambientes e novas rotinas em Rotinas.</x:t>
  </x:si>
  <x:si>
    <x:t xml:space="preserve">3. A Próxima_manut, Ano, Mês, Custo_total e Status são calculados automaticamente.</x:t>
  </x:si>
  <x:si>
    <x:t xml:space="preserve">4. Use filtros/tabelas dinâmicas a partir de Ativos ou Cronograma.</x:t>
  </x:si>
  <x:si>
    <x:t xml:space="preserve">5. Para o app futuro, esta aba Ativos já funciona como protótipo do banco de dados.</x:t>
  </x:si>
  <x:si>
    <x:t xml:space="preserve">soma:</x:t>
  </x:si>
  <x:si>
    <x:t xml:space="preserve">mensalidade condominio</x:t>
  </x:si>
  <x:si>
    <x:t xml:space="preserve">inicio</x:t>
  </x:si>
  <x:si>
    <x:t xml:space="preserve">data final</x:t>
  </x:si>
  <x:si>
    <x:t xml:space="preserve">total vezes</x:t>
  </x:si>
  <x:si>
    <x:t xml:space="preserve">ID</x:t>
  </x:si>
  <x:si>
    <x:t xml:space="preserve">Cod_ambiente</x:t>
  </x:si>
  <x:si>
    <x:t xml:space="preserve">Zona</x:t>
  </x:si>
  <x:si>
    <x:t xml:space="preserve">Subsistema</x:t>
  </x:si>
  <x:si>
    <x:t xml:space="preserve">Ativo</x:t>
  </x:si>
  <x:si>
    <x:t xml:space="preserve">Componente</x:t>
  </x:si>
  <x:si>
    <x:t xml:space="preserve">Ação_prevista</x:t>
  </x:si>
  <x:si>
    <x:t xml:space="preserve">Quantidade</x:t>
  </x:si>
  <x:si>
    <x:t xml:space="preserve">Unidade</x:t>
  </x:si>
  <x:si>
    <x:t xml:space="preserve">Periodicidade_meses</x:t>
  </x:si>
  <x:si>
    <x:t xml:space="preserve">Última_manut</x:t>
  </x:si>
  <x:si>
    <x:t xml:space="preserve">Próxima_manut</x:t>
  </x:si>
  <x:si>
    <x:t xml:space="preserve">Mês</x:t>
  </x:si>
  <x:si>
    <x:t xml:space="preserve">Custo_unitário_estimado</x:t>
  </x:si>
  <x:si>
    <x:t xml:space="preserve">Custo_total_estimado</x:t>
  </x:si>
  <x:si>
    <x:t xml:space="preserve">Prioridade</x:t>
  </x:si>
  <x:si>
    <x:t xml:space="preserve">Estado</x:t>
  </x:si>
  <x:si>
    <x:t xml:space="preserve">Status</x:t>
  </x:si>
  <x:si>
    <x:t xml:space="preserve">Responsável</x:t>
  </x:si>
  <x:si>
    <x:t xml:space="preserve">Observações</x:t>
  </x:si>
  <x:si>
    <x:t xml:space="preserve">ano encerramento</x:t>
  </x:si>
  <x:si>
    <x:t xml:space="preserve">HID-S2B-001</x:t>
  </x:si>
  <x:si>
    <x:t xml:space="preserve">Água fria</x:t>
  </x:si>
  <x:si>
    <x:t xml:space="preserve">Lavatório</x:t>
  </x:si>
  <x:si>
    <x:t xml:space="preserve">Torneira</x:t>
  </x:si>
  <x:si>
    <x:t xml:space="preserve">Inspeção / troca de reparo</x:t>
  </x:si>
  <x:si>
    <x:t xml:space="preserve">un</x:t>
  </x:si>
  <x:si>
    <x:t xml:space="preserve">Média</x:t>
  </x:si>
  <x:si>
    <x:t xml:space="preserve">Bom</x:t>
  </x:si>
  <x:si>
    <x:t xml:space="preserve">Encanador</x:t>
  </x:si>
  <x:si>
    <x:t xml:space="preserve">Exemplo: verificar gotejamento eventual</x:t>
  </x:si>
  <x:si>
    <x:t xml:space="preserve">ESG-S2B-001</x:t>
  </x:si>
  <x:si>
    <x:t xml:space="preserve">Esgoto sanitário</x:t>
  </x:si>
  <x:si>
    <x:t xml:space="preserve">Sifão</x:t>
  </x:si>
  <x:si>
    <x:t xml:space="preserve">Limpeza / inspeção</x:t>
  </x:si>
  <x:si>
    <x:t xml:space="preserve">Baixa</x:t>
  </x:si>
  <x:si>
    <x:t xml:space="preserve">HID-S2B-002</x:t>
  </x:si>
  <x:si>
    <x:t xml:space="preserve">Bacia sanitária</x:t>
  </x:si>
  <x:si>
    <x:t xml:space="preserve">Caixa acoplada / válvula</x:t>
  </x:si>
  <x:si>
    <x:t xml:space="preserve">Inspeção / regulagem</x:t>
  </x:si>
  <x:si>
    <x:t xml:space="preserve">CLI-SALA-001</x:t>
  </x:si>
  <x:si>
    <x:t xml:space="preserve">Split</x:t>
  </x:si>
  <x:si>
    <x:t xml:space="preserve">Ar-condicionado</x:t>
  </x:si>
  <x:si>
    <x:t xml:space="preserve">Evaporadora / condensadora</x:t>
  </x:si>
  <x:si>
    <x:t xml:space="preserve">Limpeza preventiva</x:t>
  </x:si>
  <x:si>
    <x:t xml:space="preserve">Alta</x:t>
  </x:si>
  <x:si>
    <x:t xml:space="preserve">Regular</x:t>
  </x:si>
  <x:si>
    <x:t xml:space="preserve">Técnico de ar-condicionado</x:t>
  </x:si>
  <x:si>
    <x:t xml:space="preserve">CLI-S1-001</x:t>
  </x:si>
  <x:si>
    <x:t xml:space="preserve">CLI-S2-001</x:t>
  </x:si>
  <x:si>
    <x:t xml:space="preserve">CLI-S3-001</x:t>
  </x:si>
  <x:si>
    <x:t xml:space="preserve">ELE-APT-001</x:t>
  </x:si>
  <x:si>
    <x:t xml:space="preserve">Quadro</x:t>
  </x:si>
  <x:si>
    <x:t xml:space="preserve">Quadro elétrico</x:t>
  </x:si>
  <x:si>
    <x:t xml:space="preserve">Disjuntores</x:t>
  </x:si>
  <x:si>
    <x:t xml:space="preserve">Inspeção</x:t>
  </x:si>
  <x:si>
    <x:t xml:space="preserve">Eletricista</x:t>
  </x:si>
  <x:si>
    <x:t xml:space="preserve">Representa quadro geral do apartamento</x:t>
  </x:si>
  <x:si>
    <x:t xml:space="preserve">ELE-ESC1-001</x:t>
  </x:si>
  <x:si>
    <x:t xml:space="preserve">Tomadas</x:t>
  </x:si>
  <x:si>
    <x:t xml:space="preserve">Tomadas gerais</x:t>
  </x:si>
  <x:si>
    <x:t xml:space="preserve">Conjunto de tomadas</x:t>
  </x:si>
  <x:si>
    <x:t xml:space="preserve">cj</x:t>
  </x:si>
  <x:si>
    <x:t xml:space="preserve">GAS-COPA-001</x:t>
  </x:si>
  <x:si>
    <x:t xml:space="preserve">Tubulação/ponto</x:t>
  </x:si>
  <x:si>
    <x:t xml:space="preserve">Ponto de gás</x:t>
  </x:si>
  <x:si>
    <x:t xml:space="preserve">Mangueira / registro</x:t>
  </x:si>
  <x:si>
    <x:t xml:space="preserve">Inspeção / troca preventiva</x:t>
  </x:si>
  <x:si>
    <x:t xml:space="preserve">Técnico de gás</x:t>
  </x:si>
  <x:si>
    <x:t xml:space="preserve">PIN-SALA-001</x:t>
  </x:si>
  <x:si>
    <x:t xml:space="preserve">Interna</x:t>
  </x:si>
  <x:si>
    <x:t xml:space="preserve">Paredes internas</x:t>
  </x:si>
  <x:si>
    <x:t xml:space="preserve">Repintura</x:t>
  </x:si>
  <x:si>
    <x:t xml:space="preserve">serv</x:t>
  </x:si>
  <x:si>
    <x:t xml:space="preserve">Pintor</x:t>
  </x:si>
  <x:si>
    <x:t xml:space="preserve">Valor exemplo para sala</x:t>
  </x:si>
  <x:si>
    <x:t xml:space="preserve">REV-VAR-001</x:t>
  </x:si>
  <x:si>
    <x:t xml:space="preserve">Piso</x:t>
  </x:si>
  <x:si>
    <x:t xml:space="preserve">Rejunte</x:t>
  </x:si>
  <x:si>
    <x:t xml:space="preserve">Inspeção / recomposição</x:t>
  </x:si>
  <x:si>
    <x:t xml:space="preserve">Pedreiro</x:t>
  </x:si>
  <x:si>
    <x:t xml:space="preserve">ESQ-VAR-001</x:t>
  </x:si>
  <x:si>
    <x:t xml:space="preserve">Janelas</x:t>
  </x:si>
  <x:si>
    <x:t xml:space="preserve">Esquadria da varanda</x:t>
  </x:si>
  <x:si>
    <x:t xml:space="preserve">Trilhos / roldanas</x:t>
  </x:si>
  <x:si>
    <x:t xml:space="preserve">Limpeza / regulagem</x:t>
  </x:si>
  <x:si>
    <x:t xml:space="preserve">Serralheiro</x:t>
  </x:si>
  <x:si>
    <x:t xml:space="preserve">MAR-COPA-001</x:t>
  </x:si>
  <x:si>
    <x:t xml:space="preserve">Armários</x:t>
  </x:si>
  <x:si>
    <x:t xml:space="preserve">Armários da cozinha</x:t>
  </x:si>
  <x:si>
    <x:t xml:space="preserve">Dobradiças / corrediças</x:t>
  </x:si>
  <x:si>
    <x:t xml:space="preserve">Regulagem</x:t>
  </x:si>
  <x:si>
    <x:t xml:space="preserve">Marceneiro</x:t>
  </x:si>
  <x:si>
    <x:t xml:space="preserve">Externo</x:t>
  </x:si>
  <x:si>
    <x:t xml:space="preserve">fachada</x:t>
  </x:si>
  <x:si>
    <x:t xml:space="preserve">Observação</x:t>
  </x:si>
  <x:si>
    <x:t xml:space="preserve">Zonas</x:t>
  </x:si>
  <x:si>
    <x:t xml:space="preserve">S1</x:t>
  </x:si>
  <x:si>
    <x:t xml:space="preserve">Área íntima</x:t>
  </x:si>
  <x:si>
    <x:t xml:space="preserve">S1B</x:t>
  </x:si>
  <x:si>
    <x:t xml:space="preserve">Trabalho</x:t>
  </x:si>
  <x:si>
    <x:t xml:space="preserve">S2</x:t>
  </x:si>
  <x:si>
    <x:t xml:space="preserve">Social</x:t>
  </x:si>
  <x:si>
    <x:t xml:space="preserve">S2B</x:t>
  </x:si>
  <x:si>
    <x:t xml:space="preserve">Serviço</x:t>
  </x:si>
  <x:si>
    <x:t xml:space="preserve">S3</x:t>
  </x:si>
  <x:si>
    <x:t xml:space="preserve">publica</x:t>
  </x:si>
  <x:si>
    <x:t xml:space="preserve">S3B</x:t>
  </x:si>
  <x:si>
    <x:t xml:space="preserve">ESC1</x:t>
  </x:si>
  <x:si>
    <x:t xml:space="preserve">ESC2</x:t>
  </x:si>
  <x:si>
    <x:t xml:space="preserve">SALA</x:t>
  </x:si>
  <x:si>
    <x:t xml:space="preserve">VAR</x:t>
  </x:si>
  <x:si>
    <x:t xml:space="preserve">LAV</x:t>
  </x:si>
  <x:si>
    <x:t xml:space="preserve">COPA</x:t>
  </x:si>
  <x:si>
    <x:t xml:space="preserve">SERV</x:t>
  </x:si>
  <x:si>
    <x:t xml:space="preserve">DEP</x:t>
  </x:si>
  <x:si>
    <x:t xml:space="preserve">OFC</x:t>
  </x:si>
  <x:si>
    <x:t xml:space="preserve">Oficina</x:t>
  </x:si>
  <x:si>
    <x:t xml:space="preserve">DEPB</x:t>
  </x:si>
  <x:si>
    <x:t xml:space="preserve">EXT</x:t>
  </x:si>
  <x:si>
    <x:t xml:space="preserve">nao cadastrado</x:t>
  </x:si>
  <x:si>
    <x:t xml:space="preserve">Cod_sistema</x:t>
  </x:si>
  <x:si>
    <x:t xml:space="preserve">HID</x:t>
  </x:si>
  <x:si>
    <x:t xml:space="preserve">Água quente</x:t>
  </x:si>
  <x:si>
    <x:t xml:space="preserve">ESG</x:t>
  </x:si>
  <x:si>
    <x:t xml:space="preserve">DRE</x:t>
  </x:si>
  <x:si>
    <x:t xml:space="preserve">Ralos</x:t>
  </x:si>
  <x:si>
    <x:t xml:space="preserve">ELE</x:t>
  </x:si>
  <x:si>
    <x:t xml:space="preserve">ILU</x:t>
  </x:si>
  <x:si>
    <x:t xml:space="preserve">Luminárias</x:t>
  </x:si>
  <x:si>
    <x:t xml:space="preserve">CLI</x:t>
  </x:si>
  <x:si>
    <x:t xml:space="preserve">GAS</x:t>
  </x:si>
  <x:si>
    <x:t xml:space="preserve">PIN</x:t>
  </x:si>
  <x:si>
    <x:t xml:space="preserve">Externa</x:t>
  </x:si>
  <x:si>
    <x:t xml:space="preserve">REV</x:t>
  </x:si>
  <x:si>
    <x:t xml:space="preserve">Parede</x:t>
  </x:si>
  <x:si>
    <x:t xml:space="preserve">ESQ</x:t>
  </x:si>
  <x:si>
    <x:t xml:space="preserve">Portas</x:t>
  </x:si>
  <x:si>
    <x:t xml:space="preserve">MAR</x:t>
  </x:si>
  <x:si>
    <x:t xml:space="preserve">SEG</x:t>
  </x:si>
  <x:si>
    <x:t xml:space="preserve">Fechaduras</x:t>
  </x:si>
  <x:si>
    <x:t xml:space="preserve">Ação</x:t>
  </x:si>
  <x:si>
    <x:t xml:space="preserve">Custo_referencia</x:t>
  </x:si>
  <x:si>
    <x:t xml:space="preserve">Responsável_sugerido</x:t>
  </x:si>
  <x:si>
    <x:t xml:space="preserve">Chuveiro</x:t>
  </x:si>
  <x:si>
    <x:t xml:space="preserve">Registro / misturador</x:t>
  </x:si>
  <x:si>
    <x:t xml:space="preserve">Ralo</x:t>
  </x:si>
  <x:si>
    <x:t xml:space="preserve">Ralo / grelha</x:t>
  </x:si>
  <x:si>
    <x:t xml:space="preserve">Limpeza</x:t>
  </x:si>
  <x:si>
    <x:t xml:space="preserve">Luminária</x:t>
  </x:si>
  <x:si>
    <x:t xml:space="preserve">Lâmpadas / drivers</x:t>
  </x:si>
  <x:si>
    <x:t xml:space="preserve">Revisão / troca</x:t>
  </x:si>
  <x:si>
    <x:t xml:space="preserve">Janela</x:t>
  </x:si>
  <x:si>
    <x:t xml:space="preserve">Fechadura</x:t>
  </x:si>
  <x:si>
    <x:t xml:space="preserve">Fechadura / maçaneta</x:t>
  </x:si>
  <x:si>
    <x:t xml:space="preserve">Lubrificação / regulagem</x:t>
  </x:si>
  <x:si>
    <x:t xml:space="preserve">Chaveiro</x:t>
  </x:si>
  <x:si>
    <x:t xml:space="preserve">Vencido</x:t>
  </x:si>
  <x:si>
    <x:t xml:space="preserve">Próx. 30 dias</x:t>
  </x:si>
  <x:si>
    <x:t xml:space="preserve">Ruim</x:t>
  </x:si>
  <x:si>
    <x:t xml:space="preserve">Próx. 90 dias</x:t>
  </x:si>
  <x:si>
    <x:t xml:space="preserve">Crítica</x:t>
  </x:si>
  <x:si>
    <x:t xml:space="preserve">Desconhecido</x:t>
  </x:si>
  <x:si>
    <x:t xml:space="preserve">m²</x:t>
  </x:si>
  <x:si>
    <x:t xml:space="preserve">Programado</x:t>
  </x:si>
  <x:si>
    <x:t xml:space="preserve">m</x:t>
  </x:si>
  <x:si>
    <x:t xml:space="preserve">Sem data</x:t>
  </x:si>
  <x:si>
    <x:t xml:space="preserve">ponto</x:t>
  </x:si>
</x:sst>
</file>

<file path=xl/styles.xml><?xml version="1.0" encoding="utf-8"?>
<x:styleSheet xmlns:x="http://schemas.openxmlformats.org/spreadsheetml/2006/main">
  <x:numFmts count="4">
    <x:numFmt numFmtId="44" formatCode="_-&quot;R$&quot;\ * #,##0.00_-;\-&quot;R$&quot;\ * #,##0.00_-;_-&quot;R$&quot;\ * &quot;-&quot;??_-;_-@_-"/>
    <x:numFmt numFmtId="43" formatCode="_-* #,##0.00_-;\-* #,##0.00_-;_-* &quot;-&quot;??_-;_-@_-"/>
    <x:numFmt numFmtId="164" formatCode="\R\$\ #,##0.00"/>
    <x:numFmt numFmtId="167" formatCode="_-* #,##0_-;\-* #,##0_-;_-* &quot;-&quot;??_-;_-@_-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FFC000"/>
      </x:patternFill>
    </x:fill>
    <x:fill>
      <x:patternFill patternType="solid">
        <x:fgColor theme="4" tint="0.79998"/>
      </x:patternFill>
    </x:fill>
  </x:fills>
  <x:borders count="17">
    <x:border/>
    <x:border>
      <x:left style="medium">
        <x:color indexed="64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</x:border>
    <x:border>
      <x:left style="medium">
        <x:color indexed="64"/>
      </x:lef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right style="medium">
        <x:color indexed="64"/>
      </x:right>
      <x:bottom style="thin">
        <x:color indexed="64"/>
      </x:bottom>
    </x:border>
  </x:borders>
  <x:cellStyleXfs count="3">
    <x:xf numFmtId="0" fontId="0" fillId="0" borderId="0"/>
    <x:xf numFmtId="43" fontId="4" fillId="0" borderId="0" applyFont="0" applyFill="0" applyBorder="0" applyAlignment="0" applyProtection="0"/>
    <x:xf numFmtId="44" fontId="4" fillId="0" borderId="0" applyFont="0" applyFill="0" applyBorder="0" applyAlignment="0" applyProtection="0"/>
  </x:cellStyleXfs>
  <x:cellXfs count="45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14" fontId="0" fillId="0" borderId="0" xfId="0" applyNumberFormat="1"/>
    <x:xf numFmtId="164" fontId="0" fillId="0" borderId="0" xfId="0" applyNumberFormat="1"/>
    <x:xf numFmtId="0" fontId="0" fillId="0" borderId="0" xfId="0" applyAlignment="1">
      <x:alignment wrapText="1"/>
    </x:xf>
    <x:xf numFmtId="0" fontId="3" fillId="4" borderId="0" xfId="0" applyFont="1" applyFill="1" applyAlignment="1">
      <x:alignment horizontal="center" vertical="center"/>
    </x:xf>
    <x:xf numFmtId="164" fontId="0" fillId="0" borderId="0" xfId="0" applyNumberFormat="1" applyAlignment="1">
      <x:alignment wrapText="1"/>
    </x:xf>
    <x:xf numFmtId="0" fontId="2" fillId="3" borderId="0" xfId="0" applyFont="1" applyFill="1" applyAlignment="1">
      <x:alignment horizontal="center" vertical="center"/>
    </x:xf>
    <x:xf numFmtId="44" fontId="0" fillId="0" borderId="0" xfId="2" applyFont="1"/>
    <x:xf numFmtId="0" fontId="0" fillId="5" borderId="0" xfId="0" applyFill="1"/>
    <x:xf numFmtId="44" fontId="0" fillId="0" borderId="0" xfId="0" applyNumberFormat="1"/>
    <x:xf numFmtId="0" fontId="0" fillId="0" borderId="0" xfId="0" applyAlignment="1">
      <x:alignment horizontal="center"/>
    </x:xf>
    <x:xf numFmtId="164" fontId="0" fillId="0" borderId="0" xfId="0" applyNumberFormat="1" applyAlignment="1">
      <x:alignment horizontal="center"/>
    </x:xf>
    <x:xf numFmtId="0" fontId="0" fillId="0" borderId="1" xfId="0" applyBorder="1" applyAlignment="1">
      <x:alignment horizontal="center"/>
    </x:xf>
    <x:xf numFmtId="0" fontId="0" fillId="0" borderId="2" xfId="0" applyBorder="1"/>
    <x:xf numFmtId="0" fontId="0" fillId="0" borderId="3" xfId="0" applyBorder="1" applyAlignment="1">
      <x:alignment horizontal="center"/>
    </x:xf>
    <x:xf numFmtId="0" fontId="0" fillId="0" borderId="4" xfId="0" applyBorder="1"/>
    <x:xf numFmtId="164" fontId="0" fillId="0" borderId="5" xfId="0" applyNumberFormat="1" applyBorder="1" applyAlignment="1">
      <x:alignment horizontal="center"/>
    </x:xf>
    <x:xf numFmtId="167" fontId="0" fillId="0" borderId="6" xfId="1" applyNumberFormat="1" applyFont="1" applyBorder="1" applyAlignment="1">
      <x:alignment horizontal="center"/>
    </x:xf>
    <x:xf numFmtId="164" fontId="0" fillId="0" borderId="7" xfId="0" applyNumberFormat="1" applyBorder="1" applyAlignment="1">
      <x:alignment horizontal="center"/>
    </x:xf>
    <x:xf numFmtId="167" fontId="0" fillId="0" borderId="8" xfId="1" applyNumberFormat="1" applyFont="1" applyBorder="1" applyAlignment="1">
      <x:alignment horizontal="center"/>
    </x:xf>
    <x:xf numFmtId="0" fontId="0" fillId="0" borderId="2" xfId="0" applyBorder="1" applyAlignment="1">
      <x:alignment horizontal="center"/>
    </x:xf>
    <x:xf numFmtId="164" fontId="0" fillId="0" borderId="9" xfId="0" applyNumberFormat="1" applyBorder="1" applyAlignment="1">
      <x:alignment horizontal="center"/>
    </x:xf>
    <x:xf numFmtId="164" fontId="0" fillId="0" borderId="6" xfId="0" applyNumberFormat="1" applyBorder="1" applyAlignment="1">
      <x:alignment horizontal="center"/>
    </x:xf>
    <x:xf numFmtId="164" fontId="0" fillId="0" borderId="10" xfId="0" applyNumberFormat="1" applyBorder="1" applyAlignment="1">
      <x:alignment horizontal="center"/>
    </x:xf>
    <x:xf numFmtId="164" fontId="0" fillId="0" borderId="8" xfId="0" applyNumberFormat="1" applyBorder="1" applyAlignment="1">
      <x:alignment horizontal="center"/>
    </x:xf>
    <x:xf numFmtId="44" fontId="0" fillId="0" borderId="11" xfId="0" applyNumberFormat="1" applyBorder="1"/>
    <x:xf numFmtId="164" fontId="0" fillId="0" borderId="12" xfId="0" applyNumberFormat="1" applyBorder="1" applyAlignment="1">
      <x:alignment horizontal="center"/>
    </x:xf>
    <x:xf numFmtId="164" fontId="0" fillId="0" borderId="13" xfId="0" applyNumberFormat="1" applyBorder="1" applyAlignment="1">
      <x:alignment horizontal="center"/>
    </x:xf>
    <x:xf numFmtId="0" fontId="0" fillId="0" borderId="15" xfId="0" applyBorder="1" applyAlignment="1">
      <x:alignment horizontal="center"/>
    </x:xf>
    <x:xf numFmtId="0" fontId="0" fillId="0" borderId="16" xfId="0" applyBorder="1" applyAlignment="1">
      <x:alignment horizontal="center"/>
    </x:xf>
    <x:xf numFmtId="0" fontId="0" fillId="0" borderId="14" xfId="0" applyBorder="1"/>
    <x:xf numFmtId="0" fontId="0" fillId="6" borderId="1" xfId="0" applyFill="1" applyBorder="1" applyAlignment="1">
      <x:alignment horizontal="center"/>
    </x:xf>
    <x:xf numFmtId="0" fontId="0" fillId="6" borderId="2" xfId="0" applyFill="1" applyBorder="1"/>
    <x:xf numFmtId="0" fontId="0" fillId="6" borderId="2" xfId="0" applyFill="1" applyBorder="1" applyAlignment="1">
      <x:alignment horizontal="center"/>
    </x:xf>
    <x:xf numFmtId="44" fontId="0" fillId="6" borderId="11" xfId="0" applyNumberFormat="1" applyFill="1" applyBorder="1"/>
    <x:xf numFmtId="44" fontId="0" fillId="6" borderId="0" xfId="0" applyNumberFormat="1" applyFill="1"/>
    <x:xf numFmtId="0" fontId="0" fillId="6" borderId="3" xfId="0" applyFill="1" applyBorder="1" applyAlignment="1">
      <x:alignment horizontal="center"/>
    </x:xf>
    <x:xf numFmtId="0" fontId="0" fillId="6" borderId="4" xfId="0" applyFill="1" applyBorder="1"/>
    <x:xf numFmtId="0" fontId="0" fillId="6" borderId="15" xfId="0" applyFill="1" applyBorder="1" applyAlignment="1">
      <x:alignment horizontal="center"/>
    </x:xf>
    <x:xf numFmtId="0" fontId="0" fillId="6" borderId="16" xfId="0" applyFill="1" applyBorder="1" applyAlignment="1">
      <x:alignment horizontal="center"/>
    </x:xf>
    <x:xf numFmtId="0" fontId="0" fillId="6" borderId="14" xfId="0" applyFill="1" applyBorder="1"/>
    <x:xf numFmtId="0" fontId="0" fillId="6" borderId="0" xfId="0" applyFill="1"/>
    <x:xf numFmtId="14" fontId="0" fillId="0" borderId="0" xfId="0" applyNumberFormat="1" applyAlignment="1">
      <x:alignment horizontal="center"/>
    </x:xf>
    <x:xf numFmtId="0" fontId="0" fillId="0" borderId="0" xfId="0" applyNumberFormat="1"/>
  </x:cellXfs>
  <x:cellStyles count="3">
    <x:cellStyle name="Moeda" xfId="2"/>
    <x:cellStyle name="Normal" xfId="0"/>
    <x:cellStyle name="Vírgula" xfId="1"/>
  </x:cellStyles>
  <x:dxfs count="10">
    <x:dxf>
      <x:font>
        <x:color rgb="FF0F5132"/>
      </x:font>
      <x:fill>
        <x:patternFill>
          <x:bgColor rgb="FFD1E7DD"/>
        </x:patternFill>
      </x:fill>
    </x:dxf>
    <x:dxf>
      <x:font>
        <x:color rgb="FF664D03"/>
      </x:font>
      <x:fill>
        <x:patternFill>
          <x:bgColor rgb="FFFFF3CD"/>
        </x:patternFill>
      </x:fill>
    </x:dxf>
    <x:dxf>
      <x:font>
        <x:color rgb="FF842029"/>
      </x:font>
      <x:fill>
        <x:patternFill>
          <x:bgColor rgb="FFF8D7DA"/>
        </x:patternFill>
      </x:fill>
    </x:dxf>
    <x:dxf>
      <x:font>
        <x:color rgb="FF0F5132"/>
      </x:font>
      <x:fill>
        <x:patternFill>
          <x:bgColor rgb="FFD1E7DD"/>
        </x:patternFill>
      </x:fill>
    </x:dxf>
    <x:dxf>
      <x:font>
        <x:color rgb="FF664D03"/>
      </x:font>
      <x:fill>
        <x:patternFill>
          <x:bgColor rgb="FFFFF3CD"/>
        </x:patternFill>
      </x:fill>
    </x:dxf>
    <x:dxf>
      <x:font>
        <x:color rgb="FF842029"/>
      </x:font>
      <x:fill>
        <x:patternFill>
          <x:bgColor rgb="FFF8D7DA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ill>
        <x:patternFill>
          <x:bgColor rgb="FFFFE5D0"/>
        </x:patternFill>
      </x:fill>
    </x:dxf>
    <x:dxf>
      <x:numFmt numFmtId="0" formatCode="General"/>
    </x:dxf>
    <x:dxf>
      <x:numFmt numFmtId="0" formatCode="General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9fdd96702c4c13" /><Relationship Type="http://schemas.openxmlformats.org/officeDocument/2006/relationships/theme" Target="/xl/theme/theme1.xml" Id="R8c1f4593c8d842c3" /><Relationship Type="http://schemas.openxmlformats.org/officeDocument/2006/relationships/sheetMetadata" Target="/xl/metadata1.xml" Id="R6073cb0efea34420" /><Relationship Type="http://schemas.openxmlformats.org/officeDocument/2006/relationships/sharedStrings" Target="/xl/sharedStrings.xml" Id="R88c617bf6f0146a4" /><Relationship Type="http://schemas.openxmlformats.org/officeDocument/2006/relationships/worksheet" Target="/xl/worksheets/sheet1.xml" Id="R1635cbb8bcad47b0" /><Relationship Type="http://schemas.openxmlformats.org/officeDocument/2006/relationships/worksheet" Target="/xl/worksheets/sheet2.xml" Id="Rb1080b33d03944f2" /><Relationship Type="http://schemas.openxmlformats.org/officeDocument/2006/relationships/worksheet" Target="/xl/worksheets/sheet3.xml" Id="R463373405cbc4b68" /><Relationship Type="http://schemas.openxmlformats.org/officeDocument/2006/relationships/worksheet" Target="/xl/worksheets/sheet4.xml" Id="R7e519cd735cf4a4e" /><Relationship Type="http://schemas.openxmlformats.org/officeDocument/2006/relationships/worksheet" Target="/xl/worksheets/sheet5.xml" Id="R6d166f7313cb486a" /><Relationship Type="http://schemas.openxmlformats.org/officeDocument/2006/relationships/worksheet" Target="/xl/worksheets/sheet6.xml" Id="R2a871a2bfc1a4b99" /><Relationship Type="http://schemas.openxmlformats.org/officeDocument/2006/relationships/worksheet" Target="/xl/worksheets/sheet7.xml" Id="Rba63d85b8b584344" /><Relationship Type="http://schemas.openxmlformats.org/officeDocument/2006/relationships/worksheet" Target="/xl/worksheets/sheet8.xml" Id="R388d40c0996f40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814a40cd334613" /><Relationship Type="http://schemas.openxmlformats.org/officeDocument/2006/relationships/chart" Target="/xl/drawings/charts/chart2.xml" Id="Rd7f4c122dc034551" /><Relationship Type="http://schemas.openxmlformats.org/officeDocument/2006/relationships/chart" Target="/xl/drawings/charts/chart3.xml" Id="R38d96e1a937a46d2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Custo previsto por sistema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Custo previsto</c:v>
          </c:tx>
          <c:cat>
            <c:strRef>
              <c:f>Dashboard!$D$5:$D$21</c:f>
              <c:strCache>
                <c:ptCount val="12"/>
                <c:pt idx="0">
                  <c:v>Climatização</c:v>
                </c:pt>
                <c:pt idx="1">
                  <c:v>Drenagem</c:v>
                </c:pt>
                <c:pt idx="2">
                  <c:v>Elétrico</c:v>
                </c:pt>
                <c:pt idx="3">
                  <c:v>Esgoto</c:v>
                </c:pt>
                <c:pt idx="4">
                  <c:v>Esquadrias</c:v>
                </c:pt>
                <c:pt idx="5">
                  <c:v>Gás</c:v>
                </c:pt>
                <c:pt idx="6">
                  <c:v>Hidráulico</c:v>
                </c:pt>
                <c:pt idx="7">
                  <c:v>Iluminação</c:v>
                </c:pt>
                <c:pt idx="8">
                  <c:v>Marcenaria</c:v>
                </c:pt>
                <c:pt idx="9">
                  <c:v>Pintura</c:v>
                </c:pt>
                <c:pt idx="10">
                  <c:v>Revestimentos</c:v>
                </c:pt>
                <c:pt idx="11">
                  <c:v>Segurança/acesso</c:v>
                </c:pt>
              </c:strCache>
            </c:strRef>
          </c:cat>
          <c:val>
            <c:numRef>
              <c:f>Dashboard!$E$5:$E$21</c:f>
              <c:numCache>
                <c:formatCode>\R\$\ #,##0.00</c:formatCode>
                <c:ptCount val="13"/>
                <c:pt idx="0">
                  <c:v>720</c:v>
                </c:pt>
                <c:pt idx="1">
                  <c:v>0</c:v>
                </c:pt>
                <c:pt idx="2">
                  <c:v>20100</c:v>
                </c:pt>
                <c:pt idx="3">
                  <c:v>80</c:v>
                </c:pt>
                <c:pt idx="4">
                  <c:v>120</c:v>
                </c:pt>
                <c:pt idx="5">
                  <c:v>180</c:v>
                </c:pt>
                <c:pt idx="6">
                  <c:v>300</c:v>
                </c:pt>
                <c:pt idx="7">
                  <c:v>0</c:v>
                </c:pt>
                <c:pt idx="8">
                  <c:v>150</c:v>
                </c:pt>
                <c:pt idx="9">
                  <c:v>2500</c:v>
                </c:pt>
                <c:pt idx="10">
                  <c:v>50600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\R\$\ 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Custo previsto por ano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Custo previsto</c:v>
          </c:tx>
          <c:cat>
            <c:numRef>
              <c:f>Dashboard!$A$13:$A$18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Dashboard!$B$13:$B$18</c:f>
              <c:numCache>
                <c:formatCode>\R\$\ #,##0.00</c:formatCode>
                <c:ptCount val="6"/>
                <c:pt idx="0">
                  <c:v>22370</c:v>
                </c:pt>
                <c:pt idx="1">
                  <c:v>2270</c:v>
                </c:pt>
                <c:pt idx="2">
                  <c:v>22820</c:v>
                </c:pt>
                <c:pt idx="3">
                  <c:v>5260</c:v>
                </c:pt>
                <c:pt idx="4">
                  <c:v>21990</c:v>
                </c:pt>
                <c:pt idx="5">
                  <c:v>52130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\R\$\ 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taxa manutencao predial mensal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Dashboard!$C$25</c:f>
              <c:strCache>
                <c:ptCount val="1"/>
                <c:pt idx="0">
                  <c:v>aporte mensal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cat>
            <c:numRef>
              <c:f>Dashboard!$A$13:$A$18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Dashboard!$D$27:$D$32</c:f>
              <c:numCache>
                <c:formatCode>\R\$\ #,##0.00</c:formatCode>
                <c:ptCount val="6"/>
                <c:pt idx="0">
                  <c:v>3792.75</c:v>
                </c:pt>
                <c:pt idx="1">
                  <c:v>1928.5833333333335</c:v>
                </c:pt>
                <c:pt idx="2">
                  <c:v>1834</c:v>
                </c:pt>
                <c:pt idx="3">
                  <c:v>1200.111111111111</c:v>
                </c:pt>
                <c:pt idx="4">
                  <c:v>1090.5277777777778</c:v>
                </c:pt>
                <c:pt idx="5">
                  <c:v>724.0277777777778</c:v>
                </c:pt>
              </c:numCache>
            </c:numRef>
          </c:val>
        </c:ser>
        <c:ser>
          <c:idx val="1"/>
          <c:order val="1"/>
          <c:tx>
            <c:strRef>
              <c:f>Dashboard!$B$12</c:f>
              <c:strCache>
                <c:ptCount val="1"/>
                <c:pt idx="0">
                  <c:v>Gasto previsto</c:v>
                </c:pt>
              </c:strCache>
            </c:strRef>
          </c:tx>
          <c: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</a:ln>
          </c:spPr>
          <c:cat>
            <c:numRef>
              <c:f>Dashboard!$A$13:$A$18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Dashboard!$B$13:$B$18</c:f>
              <c:numCache>
                <c:formatCode>\R\$\ #,##0.00</c:formatCode>
                <c:ptCount val="6"/>
                <c:pt idx="0">
                  <c:v>22370</c:v>
                </c:pt>
                <c:pt idx="1">
                  <c:v>2270</c:v>
                </c:pt>
                <c:pt idx="2">
                  <c:v>22820</c:v>
                </c:pt>
                <c:pt idx="3">
                  <c:v>5260</c:v>
                </c:pt>
                <c:pt idx="4">
                  <c:v>21990</c:v>
                </c:pt>
                <c:pt idx="5">
                  <c:v>52130</c:v>
                </c:pt>
              </c:numCache>
            </c:numRef>
          </c:val>
        </c:ser>
        <c:ser>
          <c:idx val="2"/>
          <c:order val="2"/>
          <c:tx>
            <c:strRef>
              <c:f>Dashboard!$E$26</c:f>
              <c:strCache>
                <c:ptCount val="1"/>
                <c:pt idx="0">
                  <c:v>arrecadacao anual</c:v>
                </c:pt>
              </c:strCache>
            </c:strRef>
          </c:tx>
          <c: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</a:ln>
          </c:spPr>
          <c:cat>
            <c:numRef>
              <c:f>Dashboard!$A$13:$A$18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Dashboard!$E$27:$E$32</c:f>
              <c:numCache>
                <c:formatCode>\R\$\ #.##000</c:formatCode>
                <c:ptCount val="6"/>
                <c:pt idx="0">
                  <c:v>45513</c:v>
                </c:pt>
                <c:pt idx="1">
                  <c:v>23143</c:v>
                </c:pt>
                <c:pt idx="2">
                  <c:v>22008</c:v>
                </c:pt>
                <c:pt idx="3">
                  <c:v>14401.333333333332</c:v>
                </c:pt>
                <c:pt idx="4">
                  <c:v>13086.333333333334</c:v>
                </c:pt>
                <c:pt idx="5">
                  <c:v>8688.333333333334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219"/>
        <c:overlap val="-27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\R\$\ #,##0.00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638175</xdr:colOff>
      <xdr:row>35</xdr:row>
      <xdr:rowOff>0</xdr:rowOff>
    </xdr:from>
    <xdr:to>
      <xdr:col>3</xdr:col>
      <xdr:colOff>1181100</xdr:colOff>
      <xdr:row>36</xdr:row>
      <xdr:rowOff>504825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814a40cd334613"/>
        </a:graphicData>
      </a:graphic>
    </xdr:graphicFrame>
    <xdr:clientData/>
  </xdr:twoCellAnchor>
  <xdr:twoCellAnchor>
    <xdr:from>
      <xdr:col>0</xdr:col>
      <xdr:colOff>600075</xdr:colOff>
      <xdr:row>33</xdr:row>
      <xdr:rowOff>19050</xdr:rowOff>
    </xdr:from>
    <xdr:to>
      <xdr:col>3</xdr:col>
      <xdr:colOff>600075</xdr:colOff>
      <xdr:row>34</xdr:row>
      <xdr:rowOff>1771649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f4c122dc034551"/>
        </a:graphicData>
      </a:graphic>
    </xdr:graphicFrame>
    <xdr:clientData/>
  </xdr:twoCellAnchor>
  <xdr:twoCellAnchor>
    <xdr:from>
      <xdr:col>3</xdr:col>
      <xdr:colOff>833437</xdr:colOff>
      <xdr:row>33</xdr:row>
      <xdr:rowOff>9524</xdr:rowOff>
    </xdr:from>
    <xdr:to>
      <xdr:col>6</xdr:col>
      <xdr:colOff>1290637</xdr:colOff>
      <xdr:row>35</xdr:row>
      <xdr:rowOff>409575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d96e1a937a46d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4" name="TabelaAtivos" displayName="TabelaAtivos" ref="A1:X200">
  <x:tableColumns count="24">
    <x:tableColumn id="1" name="ID"/>
    <x:tableColumn id="2" name="Cod_ambiente"/>
    <x:tableColumn id="3" name="Ambiente"/>
    <x:tableColumn id="4" name="Zona"/>
    <x:tableColumn id="5" name="Sistema"/>
    <x:tableColumn id="6" name="Subsistema"/>
    <x:tableColumn id="7" name="Ativo"/>
    <x:tableColumn id="8" name="Componente"/>
    <x:tableColumn id="9" name="Ação_prevista"/>
    <x:tableColumn id="10" name="Quantidade"/>
    <x:tableColumn id="11" name="Unidade"/>
    <x:tableColumn id="12" name="Periodicidade_meses"/>
    <x:tableColumn id="13" name="Última_manut"/>
    <x:tableColumn id="14" name="Próxima_manut"/>
    <x:tableColumn id="15" name="Ano"/>
    <x:tableColumn id="16" name="Mês"/>
    <x:tableColumn id="17" name="Custo_unitário_estimado"/>
    <x:tableColumn id="18" name="Custo_total_estimado"/>
    <x:tableColumn id="19" name="Prioridade"/>
    <x:tableColumn id="20" name="Estado"/>
    <x:tableColumn id="21" name="Status"/>
    <x:tableColumn id="22" name="Responsável"/>
    <x:tableColumn id="23" name="Observações"/>
    <x:tableColumn id="25" name="ano encerramento"/>
  </x:tableColumns>
  <x:tableStyleInfo name="TableStyleMedium2" showRowStripes="1"/>
</x:table>
</file>

<file path=xl/tables/table2.xml><?xml version="1.0" encoding="utf-8"?>
<x:table xmlns:x="http://schemas.openxmlformats.org/spreadsheetml/2006/main" id="1" name="TabelaAmbientes" displayName="TabelaAmbientes" ref="A1:D18">
  <x:tableColumns count="4">
    <x:tableColumn id="1" name="Cod_ambiente"/>
    <x:tableColumn id="2" name="Ambiente"/>
    <x:tableColumn id="3" name="Zona"/>
    <x:tableColumn id="4" name="Observação"/>
  </x:tableColumns>
  <x:tableStyleInfo name="TableStyleMedium2" showRowStripes="1"/>
</x:table>
</file>

<file path=xl/tables/table3.xml><?xml version="1.0" encoding="utf-8"?>
<x:table xmlns:x="http://schemas.openxmlformats.org/spreadsheetml/2006/main" id="6" name="TabelaAmbientes7" displayName="TabelaAmbientes7" ref="F1:F6">
  <x:tableColumns count="1">
    <x:tableColumn id="3" name="Zonas"/>
  </x:tableColumns>
  <x:tableStyleInfo name="TableStyleMedium2" showRowStripes="1"/>
</x:table>
</file>

<file path=xl/tables/table4.xml><?xml version="1.0" encoding="utf-8"?>
<x:table xmlns:x="http://schemas.openxmlformats.org/spreadsheetml/2006/main" id="2" name="TabelaSistemas" displayName="TabelaSistemas" ref="A1:C21">
  <x:tableColumns count="3">
    <x:tableColumn id="1" name="Cod_sistema"/>
    <x:tableColumn id="2" name="Sistema"/>
    <x:tableColumn id="3" name="Subsistema"/>
  </x:tableColumns>
  <x:tableStyleInfo name="TableStyleMedium2" showRowStripes="1"/>
</x:table>
</file>

<file path=xl/tables/table5.xml><?xml version="1.0" encoding="utf-8"?>
<x:table xmlns:x="http://schemas.openxmlformats.org/spreadsheetml/2006/main" id="3" name="TabelaRotinas" displayName="TabelaRotinas" ref="A1:G16">
  <x:tableColumns count="7">
    <x:tableColumn id="1" name="Sistema"/>
    <x:tableColumn id="2" name="Ativo"/>
    <x:tableColumn id="3" name="Componente"/>
    <x:tableColumn id="4" name="Ação"/>
    <x:tableColumn id="5" name="Periodicidade_meses"/>
    <x:tableColumn id="6" name="Custo_referencia"/>
    <x:tableColumn id="7" name="Responsável_sugerido"/>
  </x:tableColumns>
  <x:tableStyleInfo name="TableStyleMedium2" showRowStripes="1"/>
</x:table>
</file>

<file path=xl/tables/table6.xml><?xml version="1.0" encoding="utf-8"?>
<x:table xmlns:x="http://schemas.openxmlformats.org/spreadsheetml/2006/main" id="5" name="TabelaCronograma" displayName="TabelaCronograma" ref="A1:K200">
  <x:tableColumns count="11">
    <x:tableColumn id="1" name="ID"/>
    <x:tableColumn id="2" name="Próxima_manut"/>
    <x:tableColumn id="3" name="Ano"/>
    <x:tableColumn id="4" name="Mês"/>
    <x:tableColumn id="5" name="Ambiente"/>
    <x:tableColumn id="6" name="Sistema"/>
    <x:tableColumn id="7" name="Ativo"/>
    <x:tableColumn id="8" name="Ação_prevista"/>
    <x:tableColumn id="9" name="Prioridade"/>
    <x:tableColumn id="10" name="Status"/>
    <x:tableColumn id="11" name="Custo_total_estim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35d6cddff34a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d4cf6ac4db04a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aef90df5f2a4e46" /><Relationship Type="http://schemas.openxmlformats.org/officeDocument/2006/relationships/table" Target="/xl/tables/table3.xml" Id="R396701ad1b7d43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70c21429134e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7c00b3de0440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c88bb0d6be4645" /></Relationships>
</file>

<file path=xl/worksheets/sheet1.xml><?xml version="1.0" encoding="utf-8"?>
<x:worksheet xmlns:x="http://schemas.openxmlformats.org/spreadsheetml/2006/main">
  <x:sheetFormatPr defaultRowHeight="14.25"/>
  <x:cols>
    <x:col min="1" max="1" width="18" customWidth="1"/>
    <x:col min="2" max="2" width="22.5" customWidth="1"/>
    <x:col min="3" max="8" width="18" customWidth="1"/>
  </x:cols>
  <x:sheetData>
    <x:row r="1" ht="27.950000762939453" customHeight="1">
      <x:c r="A1" s="7" t="s">
        <x:v>0</x:v>
      </x:c>
      <x:c r="B1" s="7"/>
      <x:c r="C1" s="7"/>
      <x:c r="D1" s="7"/>
      <x:c r="E1" s="7"/>
      <x:c r="F1" s="7"/>
      <x:c r="G1" s="7"/>
      <x:c r="H1" s="7"/>
    </x:row>
    <x:row r="3" ht="15">
      <x:c r="A3" s="1" t="s">
        <x:v>1</x:v>
      </x:c>
      <x:c r="B3" s="1" t="s">
        <x:v>2</x:v>
      </x:c>
      <x:c r="D3" s="5" t="s">
        <x:v>3</x:v>
      </x:c>
      <x:c r="E3" s="5"/>
      <x:c r="G3" s="5" t="s">
        <x:v>4</x:v>
      </x:c>
      <x:c r="H3" s="5"/>
    </x:row>
    <x:row r="4" ht="15">
      <x:c r="A4" t="s">
        <x:v>5</x:v>
      </x:c>
      <x:c r="B4" t="n">
        <x:f>COUNTA(Ativos!A2:A200)</x:f>
        <x:v>14</x:v>
      </x:c>
      <x:c r="D4" s="5" t="s">
        <x:v>6</x:v>
      </x:c>
      <x:c r="E4" s="5" t="s">
        <x:v>7</x:v>
      </x:c>
      <x:c r="G4" s="5" t="s">
        <x:v>8</x:v>
      </x:c>
      <x:c r="H4" s="5" t="s">
        <x:v>7</x:v>
      </x:c>
    </x:row>
    <x:row r="5">
      <x:c r="A5" t="s">
        <x:v>9</x:v>
      </x:c>
      <x:c r="B5" s="3" t="n">
        <x:f>SUM(Ativos!R2:R200)</x:f>
        <x:v>74750</x:v>
      </x:c>
      <x:c r="D5" t="s">
        <x:v>10</x:v>
      </x:c>
      <x:c r="E5" s="3" t="n">
        <x:f>SUMIF(Ativos!E:E,D5,Ativos!R:R)</x:f>
        <x:v>720</x:v>
      </x:c>
      <x:c r="G5" t="s">
        <x:v>11</x:v>
      </x:c>
      <x:c r="H5" s="3" t="n">
        <x:f>SUMIF(Ativos!C:C,G5,Ativos!R:R)</x:f>
        <x:v>180</x:v>
      </x:c>
    </x:row>
    <x:row r="6">
      <x:c r="A6" t="s">
        <x:v>12</x:v>
      </x:c>
      <x:c r="B6" t="n">
        <x:f>COUNTIF(Ativos!U2:U200,"Vencido")</x:f>
        <x:v>10</x:v>
      </x:c>
      <x:c r="D6" t="s">
        <x:v>13</x:v>
      </x:c>
      <x:c r="E6" s="3" t="n">
        <x:f>SUMIF(Ativos!E:E,D6,Ativos!R:R)</x:f>
        <x:v>0</x:v>
      </x:c>
      <x:c r="G6" t="s">
        <x:v>14</x:v>
      </x:c>
      <x:c r="H6" s="3" t="n">
        <x:f>SUMIF(Ativos!C:C,G6,Ativos!R:R)</x:f>
        <x:v>0</x:v>
      </x:c>
    </x:row>
    <x:row r="7">
      <x:c r="A7" t="s">
        <x:v>15</x:v>
      </x:c>
      <x:c r="B7" t="n">
        <x:f>COUNTIF(Ativos!U2:U200,"Próx. 30 dias")</x:f>
        <x:v>0</x:v>
      </x:c>
      <x:c r="D7" t="s">
        <x:v>16</x:v>
      </x:c>
      <x:c r="E7" s="3" t="n">
        <x:f>SUMIF(Ativos!E:E,D7,Ativos!R:R)</x:f>
        <x:v>20100</x:v>
      </x:c>
      <x:c r="G7" t="s">
        <x:v>17</x:v>
      </x:c>
      <x:c r="H7" s="3" t="n">
        <x:f>SUMIF(Ativos!C:C,G7,Ativos!R:R)</x:f>
        <x:v>180</x:v>
      </x:c>
    </x:row>
    <x:row r="8">
      <x:c r="A8" t="s">
        <x:v>18</x:v>
      </x:c>
      <x:c r="B8" t="n">
        <x:f>COUNTIF(Ativos!U2:U200,"Próx. 90 dias")</x:f>
        <x:v>0</x:v>
      </x:c>
      <x:c r="D8" t="s">
        <x:v>19</x:v>
      </x:c>
      <x:c r="E8" s="3" t="n">
        <x:f>SUMIF(Ativos!E:E,D8,Ativos!R:R)</x:f>
        <x:v>80</x:v>
      </x:c>
      <x:c r="G8" t="s">
        <x:v>20</x:v>
      </x:c>
      <x:c r="H8" s="3" t="n">
        <x:f>SUMIF(Ativos!C:C,G8,Ativos!R:R)</x:f>
        <x:v>380</x:v>
      </x:c>
    </x:row>
    <x:row r="9">
      <x:c r="D9" t="s">
        <x:v>21</x:v>
      </x:c>
      <x:c r="E9" s="3" t="n">
        <x:f>SUMIF(Ativos!E:E,D9,Ativos!R:R)</x:f>
        <x:v>120</x:v>
      </x:c>
      <x:c r="G9" t="s">
        <x:v>22</x:v>
      </x:c>
      <x:c r="H9" s="3" t="n">
        <x:f>SUMIF(Ativos!C:C,G9,Ativos!R:R)</x:f>
        <x:v>180</x:v>
      </x:c>
    </x:row>
    <x:row r="10">
      <x:c r="B10" s="3" t="e">
        <x:f>SUM(B13:B18)</x:f>
      </x:c>
      <x:c r="D10" t="s">
        <x:v>23</x:v>
      </x:c>
      <x:c r="E10" s="3" t="n">
        <x:f>SUMIF(Ativos!E:E,D10,Ativos!R:R)</x:f>
        <x:v>180</x:v>
      </x:c>
      <x:c r="G10" t="s">
        <x:v>24</x:v>
      </x:c>
      <x:c r="H10" s="3" t="n">
        <x:f>SUMIF(Ativos!C:C,G10,Ativos!R:R)</x:f>
        <x:v>0</x:v>
      </x:c>
    </x:row>
    <x:row r="11" ht="15">
      <x:c r="A11" s="5" t="s">
        <x:v>25</x:v>
      </x:c>
      <x:c r="B11" s="5"/>
      <x:c r="D11" t="s">
        <x:v>26</x:v>
      </x:c>
      <x:c r="E11" s="3" t="n">
        <x:f>SUMIF(Ativos!E:E,D11,Ativos!R:R)</x:f>
        <x:v>300</x:v>
      </x:c>
      <x:c r="G11" t="s">
        <x:v>27</x:v>
      </x:c>
      <x:c r="H11" s="3" t="n">
        <x:f>SUMIF(Ativos!C:C,G11,Ativos!R:R)</x:f>
        <x:v>100</x:v>
      </x:c>
    </x:row>
    <x:row r="12" ht="15">
      <x:c r="A12" s="5" t="s">
        <x:v>28</x:v>
      </x:c>
      <x:c r="B12" s="5" t="s">
        <x:v>29</x:v>
      </x:c>
      <x:c r="D12" t="s">
        <x:v>30</x:v>
      </x:c>
      <x:c r="E12" s="3" t="n">
        <x:f>SUMIF(Ativos!E:E,D12,Ativos!R:R)</x:f>
        <x:v>0</x:v>
      </x:c>
      <x:c r="G12" t="s">
        <x:v>31</x:v>
      </x:c>
      <x:c r="H12" s="3" t="n">
        <x:f>SUMIF(Ativos!C:C,G12,Ativos!R:R)</x:f>
        <x:v>0</x:v>
      </x:c>
    </x:row>
    <x:row r="13">
      <x:c r="A13">
        <x:v>2025</x:v>
      </x:c>
      <x:c r="B13" s="3" t="e" cm="1">
        <x:f t="array" ref="B13">SUMPRODUCT(Ativos!R1:R15,MMULT(--(IFERROR(YEAR(Ativos!Y1:BD15),0)=A13),TRANSPOSE(COLUMN(Ativos!Y1:BD15)^0)))</x:f>
      </x:c>
      <x:c r="C13" s="8"/>
      <x:c r="D13" t="s">
        <x:v>32</x:v>
      </x:c>
      <x:c r="E13" s="3" t="n">
        <x:f>SUMIF(Ativos!E:E,D13,Ativos!R:R)</x:f>
        <x:v>150</x:v>
      </x:c>
      <x:c r="G13" t="s">
        <x:v>33</x:v>
      </x:c>
      <x:c r="H13" s="3" t="n">
        <x:f>SUMIF(Ativos!C:C,G13,Ativos!R:R)</x:f>
        <x:v>22680</x:v>
      </x:c>
    </x:row>
    <x:row r="14">
      <x:c r="A14">
        <x:v>2026</x:v>
      </x:c>
      <x:c r="B14" s="3" t="e" cm="1">
        <x:f t="array" ref="B14">SUMPRODUCT(Ativos!R2:R16,MMULT(--(IFERROR(YEAR(Ativos!Y2:BD16),0)=A14),TRANSPOSE(COLUMN(Ativos!Y2:BD16)^0)))</x:f>
      </x:c>
      <x:c r="C14" s="8"/>
      <x:c r="D14" t="s">
        <x:v>34</x:v>
      </x:c>
      <x:c r="E14" s="3" t="n">
        <x:f>SUMIF(Ativos!E:E,D14,Ativos!R:R)</x:f>
        <x:v>2500</x:v>
      </x:c>
      <x:c r="G14" t="s">
        <x:v>35</x:v>
      </x:c>
      <x:c r="H14" s="3" t="n">
        <x:f>SUMIF(Ativos!C:C,G14,Ativos!R:R)</x:f>
        <x:v>720</x:v>
      </x:c>
    </x:row>
    <x:row r="15">
      <x:c r="A15">
        <x:v>2027</x:v>
      </x:c>
      <x:c r="B15" s="3" t="e" cm="1">
        <x:f t="array" ref="B15">SUMPRODUCT(Ativos!R3:R17,MMULT(--(IFERROR(YEAR(Ativos!Y3:BD17),0)=A15),TRANSPOSE(COLUMN(Ativos!Y3:BD17)^0)))</x:f>
      </x:c>
      <x:c r="C15" s="8"/>
      <x:c r="D15" t="s">
        <x:v>36</x:v>
      </x:c>
      <x:c r="E15" s="3" t="n">
        <x:f>SUMIF(Ativos!E:E,D15,Ativos!R:R)</x:f>
        <x:v>50600</x:v>
      </x:c>
      <x:c r="G15" t="s">
        <x:v>37</x:v>
      </x:c>
      <x:c r="H15" s="3" t="n">
        <x:f>SUMIF(Ativos!C:C,G15,Ativos!R:R)</x:f>
        <x:v>0</x:v>
      </x:c>
    </x:row>
    <x:row r="16">
      <x:c r="A16">
        <x:v>2028</x:v>
      </x:c>
      <x:c r="B16" s="3" t="e" cm="1">
        <x:f t="array" ref="B16">SUMPRODUCT(Ativos!R4:R18,MMULT(--(IFERROR(YEAR(Ativos!Y4:BD18),0)=A16),TRANSPOSE(COLUMN(Ativos!Y4:BD18)^0)))</x:f>
      </x:c>
      <x:c r="C16" s="8"/>
      <x:c r="D16" t="s">
        <x:v>38</x:v>
      </x:c>
      <x:c r="E16" s="3" t="n">
        <x:f>SUMIF(Ativos!E:E,D16,Ativos!R:R)</x:f>
        <x:v>0</x:v>
      </x:c>
      <x:c r="G16" t="s">
        <x:v>39</x:v>
      </x:c>
      <x:c r="H16" s="3" t="n">
        <x:f>SUMIF(Ativos!C:C,G16,Ativos!R:R)</x:f>
        <x:v>330</x:v>
      </x:c>
    </x:row>
    <x:row r="17">
      <x:c r="A17">
        <x:v>2029</x:v>
      </x:c>
      <x:c r="B17" s="3" t="e" cm="1">
        <x:f t="array" ref="B17">SUMPRODUCT(Ativos!R5:R19,MMULT(--(IFERROR(YEAR(Ativos!Y5:BD19),0)=A17),TRANSPOSE(COLUMN(Ativos!Y5:BD19)^0)))</x:f>
      </x:c>
      <x:c r="C17" s="8"/>
      <x:c r="E17" s="3"/>
      <x:c r="G17" t="s">
        <x:v>40</x:v>
      </x:c>
      <x:c r="H17" s="3" t="n">
        <x:f>SUMIF(Ativos!C:C,G17,Ativos!R:R)</x:f>
        <x:v>0</x:v>
      </x:c>
    </x:row>
    <x:row r="18">
      <x:c r="A18">
        <x:v>2030</x:v>
      </x:c>
      <x:c r="B18" s="3" t="e" cm="1">
        <x:f t="array" ref="B18">SUMPRODUCT(Ativos!R6:R20,MMULT(--(IFERROR(YEAR(Ativos!Y6:BD20),0)=A18),TRANSPOSE(COLUMN(Ativos!Y6:BD20)^0)))</x:f>
      </x:c>
      <x:c r="C18" s="8"/>
      <x:c r="E18" s="3"/>
      <x:c r="G18" t="s">
        <x:v>41</x:v>
      </x:c>
      <x:c r="H18" s="3" t="n">
        <x:f>SUMIF(Ativos!C:C,G18,Ativos!R:R)</x:f>
        <x:v>0</x:v>
      </x:c>
    </x:row>
    <x:row r="19">
      <x:c r="B19" s="9" t="s">
        <x:v>42</x:v>
      </x:c>
      <x:c r="E19" s="3"/>
      <x:c r="G19" t="s">
        <x:v>43</x:v>
      </x:c>
      <x:c r="H19" s="3" t="n">
        <x:f>SUMIF(Ativos!C:C,G19,Ativos!R:R)</x:f>
        <x:v>0</x:v>
      </x:c>
    </x:row>
    <x:row r="20">
      <x:c r="E20" s="3"/>
      <x:c r="H20" s="3"/>
    </x:row>
    <x:row r="21">
      <x:c r="B21" s="11"/>
      <x:c r="D21" s="11"/>
      <x:c r="E21" t="s">
        <x:v>44</x:v>
      </x:c>
      <x:c r="H21" s="3"/>
    </x:row>
    <x:row r="22">
      <x:c r="G22" s="4"/>
      <x:c r="H22" s="6"/>
    </x:row>
    <x:row r="23">
      <x:c r="G23" s="4"/>
      <x:c r="H23" s="6"/>
    </x:row>
    <x:row r="24" ht="15">
      <x:c r="G24" s="4"/>
      <x:c r="H24" s="6"/>
    </x:row>
    <x:row r="25">
      <x:c r="A25" s="32" t="s">
        <x:v>45</x:v>
      </x:c>
      <x:c r="B25" s="33"/>
      <x:c r="C25" s="32" t="s">
        <x:v>46</x:v>
      </x:c>
      <x:c r="D25" s="34">
        <x:v>1</x:v>
      </x:c>
      <x:c r="E25" s="35" t="e">
        <x:f>SUM(E27:E32)</x:f>
      </x:c>
      <x:c r="F25" s="36" t="e">
        <x:f>SUM(F27:F32)</x:f>
      </x:c>
      <x:c r="G25" s="4"/>
      <x:c r="H25" s="6"/>
    </x:row>
    <x:row r="26">
      <x:c r="A26" s="37" t="s">
        <x:v>47</x:v>
      </x:c>
      <x:c r="B26" s="38" t="s">
        <x:v>48</x:v>
      </x:c>
      <x:c r="C26" s="39" t="s">
        <x:v>49</x:v>
      </x:c>
      <x:c r="D26" s="40" t="s">
        <x:v>50</x:v>
      </x:c>
      <x:c r="E26" s="41" t="s">
        <x:v>51</x:v>
      </x:c>
      <x:c r="F26" s="42" t="s">
        <x:v>52</x:v>
      </x:c>
      <x:c r="G26" s="4"/>
      <x:c r="H26" s="6"/>
    </x:row>
    <x:row r="27">
      <x:c r="A27" s="17" t="e">
        <x:f>B13/12/B27</x:f>
      </x:c>
      <x:c r="B27" s="18" t="n">
        <x:f>1+A13-$A$13</x:f>
        <x:v>1</x:v>
      </x:c>
      <x:c r="C27" s="22" t="e">
        <x:f>SUM(A27:A32)</x:f>
      </x:c>
      <x:c r="D27" s="23" t="e">
        <x:f>C27/$D$25</x:f>
      </x:c>
      <x:c r="E27" s="27" t="e">
        <x:f>C27*12</x:f>
      </x:c>
      <x:c r="F27" s="12" t="e">
        <x:f>E27-B13</x:f>
      </x:c>
      <x:c r="G27" s="4"/>
      <x:c r="H27" s="6"/>
    </x:row>
    <x:row r="28">
      <x:c r="A28" s="17" t="e">
        <x:f t="shared" ref="A28:A32" si="0">B14/12/B28</x:f>
      </x:c>
      <x:c r="B28" s="18" t="n">
        <x:f t="shared" ref="B28:B32" si="1">1+A14-$A$13</x:f>
        <x:v>2</x:v>
      </x:c>
      <x:c r="C28" s="22" t="e">
        <x:f>SUM(A28:A32)</x:f>
      </x:c>
      <x:c r="D28" s="23" t="e">
        <x:f t="shared" ref="D28:D32" si="2">C28/$D$25</x:f>
      </x:c>
      <x:c r="E28" s="27" t="e">
        <x:f>C28*12</x:f>
      </x:c>
      <x:c r="F28" s="12" t="e">
        <x:f t="shared" ref="F28:F32" si="3">E28-B14</x:f>
      </x:c>
      <x:c r="H28" s="3"/>
    </x:row>
    <x:row r="29">
      <x:c r="A29" s="17">
        <x:f t="shared" si="0"/>
        <x:v>633.88888888888891</x:v>
      </x:c>
      <x:c r="B29" s="18">
        <x:f t="shared" si="1"/>
        <x:v>3</x:v>
      </x:c>
      <x:c r="C29" s="22" t="n">
        <x:f>SUM(A29:A32)</x:f>
        <x:v>1834</x:v>
      </x:c>
      <x:c r="D29" s="23">
        <x:f t="shared" si="2"/>
        <x:v>1834</x:v>
      </x:c>
      <x:c r="E29" s="27" t="n">
        <x:f>C29*12</x:f>
        <x:v>22008</x:v>
      </x:c>
      <x:c r="F29" s="12">
        <x:f t="shared" si="3"/>
        <x:v>-812</x:v>
      </x:c>
      <x:c r="H29" s="3"/>
    </x:row>
    <x:row r="30">
      <x:c r="A30" s="17">
        <x:f t="shared" si="0"/>
        <x:v>109.58333333333333</x:v>
      </x:c>
      <x:c r="B30" s="18">
        <x:f t="shared" si="1"/>
        <x:v>4</x:v>
      </x:c>
      <x:c r="C30" s="22" t="n">
        <x:f>SUM(A30:A32)</x:f>
        <x:v>1200.111111111111</x:v>
      </x:c>
      <x:c r="D30" s="23">
        <x:f t="shared" si="2"/>
        <x:v>1200.1111111111111</x:v>
      </x:c>
      <x:c r="E30" s="27" t="n">
        <x:f>C30*12</x:f>
        <x:v>14401.333333333332</x:v>
      </x:c>
      <x:c r="F30" s="12">
        <x:f t="shared" si="3"/>
        <x:v>9141.3333333333321</x:v>
      </x:c>
      <x:c r="H30" s="3"/>
    </x:row>
    <x:row r="31">
      <x:c r="A31" s="17">
        <x:f t="shared" si="0"/>
        <x:v>366.5</x:v>
      </x:c>
      <x:c r="B31" s="18">
        <x:f t="shared" si="1"/>
        <x:v>5</x:v>
      </x:c>
      <x:c r="C31" s="22" t="n">
        <x:f>SUM(A31:A33)</x:f>
        <x:v>1090.5277777777778</x:v>
      </x:c>
      <x:c r="D31" s="23">
        <x:f t="shared" si="2"/>
        <x:v>1090.5277777777778</x:v>
      </x:c>
      <x:c r="E31" s="27" t="n">
        <x:f>C31*12</x:f>
        <x:v>13086.333333333334</x:v>
      </x:c>
      <x:c r="F31" s="12">
        <x:f t="shared" si="3"/>
        <x:v>-8903.6666666666661</x:v>
      </x:c>
    </x:row>
    <x:row r="32" ht="15">
      <x:c r="A32" s="19">
        <x:f t="shared" si="0"/>
        <x:v>724.02777777777783</x:v>
      </x:c>
      <x:c r="B32" s="20">
        <x:f t="shared" si="1"/>
        <x:v>6</x:v>
      </x:c>
      <x:c r="C32" s="24" t="n">
        <x:f>SUM(A32:A34)</x:f>
        <x:v>724.0277777777778</x:v>
      </x:c>
      <x:c r="D32" s="25">
        <x:f t="shared" si="2"/>
        <x:v>724.02777777777783</x:v>
      </x:c>
      <x:c r="E32" s="28" t="n">
        <x:f>C32*12</x:f>
        <x:v>8688.333333333334</x:v>
      </x:c>
      <x:c r="F32" s="12">
        <x:f t="shared" si="3"/>
        <x:v>-43441.666666666664</x:v>
      </x:c>
    </x:row>
    <x:row r="34" ht="42.75">
      <x:c r="J34" s="4" t="s">
        <x:v>53</x:v>
      </x:c>
    </x:row>
    <x:row r="35" ht="142.5">
      <x:c r="J35" s="4" t="s">
        <x:v>54</x:v>
      </x:c>
    </x:row>
    <x:row r="36" ht="142.5">
      <x:c r="J36" s="4" t="s">
        <x:v>55</x:v>
      </x:c>
    </x:row>
    <x:row r="37" ht="171">
      <x:c r="J37" s="4" t="s">
        <x:v>56</x:v>
      </x:c>
    </x:row>
    <x:row r="38" ht="128.25">
      <x:c r="J38" s="4" t="s">
        <x:v>57</x:v>
      </x:c>
    </x:row>
    <x:row r="39" ht="142.5">
      <x:c r="J39" s="4" t="s">
        <x:v>58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f935d6cddff34ae8"/>
</x:worksheet>
</file>

<file path=xl/worksheets/sheet2.xml><?xml version="1.0" encoding="utf-8"?>
<x:worksheet xmlns:x="http://schemas.openxmlformats.org/spreadsheetml/2006/main">
  <x:sheetFormatPr defaultRowHeight="14.25"/>
  <x:cols>
    <x:col min="4" max="4" width="13.5" customWidth="1"/>
    <x:col min="5" max="5" width="19.375" customWidth="1"/>
    <x:col min="6" max="6" width="21.5" customWidth="1"/>
    <x:col min="7" max="7" width="6.875" style="11" customWidth="1"/>
    <x:col min="8" max="8" width="30" customWidth="1"/>
    <x:col min="9" max="9" width="16.375" style="11" customWidth="1"/>
    <x:col min="10" max="10" width="16.25" customWidth="1"/>
    <x:col min="11" max="11" width="14.875" customWidth="1"/>
    <x:col min="12" max="25" width="9.875" customWidth="1"/>
  </x:cols>
  <x:sheetData>
    <x:row r="7">
      <x:c r="E7" s="9" t="s">
        <x:v>42</x:v>
      </x:c>
    </x:row>
    <x:row r="9" ht="15">
      <x:c r="D9" t="s">
        <x:v>59</x:v>
      </x:c>
      <x:c r="E9" s="3" t="e">
        <x:f>SUM(E12:E17)</x:f>
      </x:c>
      <x:c r="J9" t="s">
        <x:v>44</x:v>
      </x:c>
    </x:row>
    <x:row r="10" ht="15">
      <x:c r="D10" s="5" t="s">
        <x:v>25</x:v>
      </x:c>
      <x:c r="E10" s="5"/>
      <x:c r="F10" s="13" t="s">
        <x:v>45</x:v>
      </x:c>
      <x:c r="G10" s="14"/>
      <x:c r="H10" s="13" t="s">
        <x:v>60</x:v>
      </x:c>
      <x:c r="I10" s="21">
        <x:v>20</x:v>
      </x:c>
      <x:c r="J10" s="26" t="e">
        <x:f>SUM(J12:J17)</x:f>
      </x:c>
      <x:c r="K10" s="10" t="e">
        <x:f>SUM(K12:K17)</x:f>
      </x:c>
    </x:row>
    <x:row r="11" ht="15">
      <x:c r="D11" s="5" t="s">
        <x:v>28</x:v>
      </x:c>
      <x:c r="E11" s="5" t="s">
        <x:v>7</x:v>
      </x:c>
      <x:c r="F11" s="15" t="s">
        <x:v>47</x:v>
      </x:c>
      <x:c r="G11" s="16" t="s">
        <x:v>48</x:v>
      </x:c>
      <x:c r="H11" s="29" t="s">
        <x:v>49</x:v>
      </x:c>
      <x:c r="I11" s="30" t="s">
        <x:v>50</x:v>
      </x:c>
      <x:c r="J11" s="31" t="s">
        <x:v>51</x:v>
      </x:c>
      <x:c r="K11" t="s">
        <x:v>52</x:v>
      </x:c>
    </x:row>
    <x:row r="12">
      <x:c r="D12">
        <x:v>2025</x:v>
      </x:c>
      <x:c r="E12" s="12">
        <x:v>0</x:v>
      </x:c>
      <x:c r="F12" s="17" t="n">
        <x:f>E12/12/(1+D12-D$12)</x:f>
        <x:v>0</x:v>
      </x:c>
      <x:c r="G12" s="18" t="n">
        <x:f>1+D12-D$12</x:f>
        <x:v>1</x:v>
      </x:c>
      <x:c r="H12" s="22" t="e">
        <x:f>SUM(F12:F17)</x:f>
      </x:c>
      <x:c r="I12" s="23" t="e">
        <x:f>H12/$I$10</x:f>
      </x:c>
      <x:c r="J12" s="27" t="e">
        <x:f>H12*12</x:f>
      </x:c>
      <x:c r="K12" s="12" t="e">
        <x:f>J12-E12</x:f>
      </x:c>
    </x:row>
    <x:row r="13">
      <x:c r="D13">
        <x:v>2026</x:v>
      </x:c>
      <x:c r="E13" s="12">
        <x:v>0</x:v>
      </x:c>
      <x:c r="F13" s="17" t="n">
        <x:f>E13/12/(1+D13-D$12)</x:f>
        <x:v>0</x:v>
      </x:c>
      <x:c r="G13" s="18" t="n">
        <x:f>1+D13-D$12</x:f>
        <x:v>2</x:v>
      </x:c>
      <x:c r="H13" s="22" t="e">
        <x:f>SUM(F13:F18)</x:f>
      </x:c>
      <x:c r="I13" s="23" t="e">
        <x:f>H13/$I$10</x:f>
      </x:c>
      <x:c r="J13" s="27" t="e">
        <x:f>H13*12</x:f>
      </x:c>
      <x:c r="K13" s="12" t="e">
        <x:f>J13-E13</x:f>
      </x:c>
    </x:row>
    <x:row r="14">
      <x:c r="D14">
        <x:v>2027</x:v>
      </x:c>
      <x:c r="E14" s="12">
        <x:v>200000</x:v>
      </x:c>
      <x:c r="F14" s="17" t="n">
        <x:f>E14/12/(1+D14-D$12)</x:f>
        <x:v>5555.555555555556</x:v>
      </x:c>
      <x:c r="G14" s="18" t="n">
        <x:f>1+D14-D$12</x:f>
        <x:v>3</x:v>
      </x:c>
      <x:c r="H14" s="22" t="e">
        <x:f>SUM(F14:F19)</x:f>
      </x:c>
      <x:c r="I14" s="23" t="e">
        <x:f>H14/$I$10</x:f>
      </x:c>
      <x:c r="J14" s="27" t="e">
        <x:f>H14*12</x:f>
      </x:c>
      <x:c r="K14" s="12" t="e">
        <x:f>J14-E14</x:f>
      </x:c>
    </x:row>
    <x:row r="15">
      <x:c r="D15">
        <x:v>2028</x:v>
      </x:c>
      <x:c r="E15" s="12">
        <x:v>0</x:v>
      </x:c>
      <x:c r="F15" s="17" t="n">
        <x:f>E15/12/(1+D15-D$12)</x:f>
        <x:v>0</x:v>
      </x:c>
      <x:c r="G15" s="18" t="n">
        <x:f>1+D15-D$12</x:f>
        <x:v>4</x:v>
      </x:c>
      <x:c r="H15" s="22" t="e">
        <x:f>SUM(F15:F20)</x:f>
      </x:c>
      <x:c r="I15" s="23" t="e">
        <x:f>H15/$I$10</x:f>
      </x:c>
      <x:c r="J15" s="27" t="e">
        <x:f>H15*12</x:f>
      </x:c>
      <x:c r="K15" s="12" t="e">
        <x:f>J15-E15</x:f>
      </x:c>
    </x:row>
    <x:row r="16">
      <x:c r="D16">
        <x:v>2029</x:v>
      </x:c>
      <x:c r="E16" s="12">
        <x:v>0</x:v>
      </x:c>
      <x:c r="F16" s="17" t="n">
        <x:f>E16/12/(1+D16-D$12)</x:f>
        <x:v>0</x:v>
      </x:c>
      <x:c r="G16" s="18" t="n">
        <x:f>1+D16-D$12</x:f>
        <x:v>5</x:v>
      </x:c>
      <x:c r="H16" s="22" t="e">
        <x:f>SUM(F16:F21)</x:f>
      </x:c>
      <x:c r="I16" s="23" t="e">
        <x:f>H16/$I$10</x:f>
      </x:c>
      <x:c r="J16" s="27" t="e">
        <x:f>H16*12</x:f>
      </x:c>
      <x:c r="K16" s="12" t="e">
        <x:f>J16-E16</x:f>
      </x:c>
    </x:row>
    <x:row r="17" ht="15">
      <x:c r="D17">
        <x:v>2030</x:v>
      </x:c>
      <x:c r="E17" s="12" t="e">
        <x:f>TabelaAtivos[[#This Row],[Custo_unitário_estimado]]</x:f>
      </x:c>
      <x:c r="F17" s="19" t="e">
        <x:f>E17/12/(1+D17-D$12)</x:f>
      </x:c>
      <x:c r="G17" s="20" t="n">
        <x:f>1+D17-D$12</x:f>
        <x:v>6</x:v>
      </x:c>
      <x:c r="H17" s="22" t="e">
        <x:f>SUM(F17:F22)</x:f>
      </x:c>
      <x:c r="I17" s="23" t="e">
        <x:f>H17/$I$10</x:f>
      </x:c>
      <x:c r="J17" s="27" t="e">
        <x:f>H17*12</x:f>
      </x:c>
      <x:c r="K17" s="12" t="e">
        <x:f>J17-E17</x:f>
      </x:c>
    </x:row>
    <x:row r="20">
      <x:c r="E20" s="2"/>
    </x:row>
    <x:row r="28">
      <x:c r="D28" s="2">
        <x:v>46164</x:v>
      </x:c>
      <x:c r="E28" s="2" t="n">
        <x:f>EDATE(D28,E32)</x:f>
        <x:v>46256</x:v>
      </x:c>
      <x:c r="F28" s="43">
        <x:v>46560</x:v>
      </x:c>
      <x:c r="H28" t="e">
        <x:f>_xleta.DATE</x:f>
      </x:c>
    </x:row>
    <x:row r="29">
      <x:c r="H29" s="2" t="n">
        <x:f>EDATE(D28,E33)</x:f>
        <x:v>46287</x:v>
      </x:c>
    </x:row>
    <x:row r="30">
      <x:c r="E30">
        <x:v>31</x:v>
      </x:c>
      <x:c r="H30" s="2" t="n" cm="1">
        <x:f t="array" ref="H30:J30">_xlfn.SEQUENCE(1,E32,D28,F28)</x:f>
        <x:v>46164</x:v>
      </x:c>
      <x:c r="I30" s="43" t="n">
        <x:v>92724</x:v>
      </x:c>
      <x:c r="J30" s="2" t="n">
        <x:v>139284</x:v>
      </x:c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>
      <x:c r="D31" t="s">
        <x:v>61</x:v>
      </x:c>
      <x:c r="E31" t="s">
        <x:v>48</x:v>
      </x:c>
      <x:c r="F31" s="11" t="s">
        <x:v>62</x:v>
      </x:c>
      <x:c r="G31"/>
    </x:row>
    <x:row r="32">
      <x:c r="E32">
        <x:v>3</x:v>
      </x:c>
      <x:c r="G32"/>
      <x:c r="H32" t="e" cm="1">
        <x:f t="array" aca="1" ref="H32">DATA.MÊS(D28,_xlfn.SEQUENCE(10,1,0,F28))</x:f>
      </x:c>
    </x:row>
    <x:row r="33">
      <x:c r="E33">
        <x:v>4</x:v>
      </x:c>
    </x:row>
    <x:row r="34">
      <x:c r="E34">
        <x:v>365</x:v>
      </x:c>
      <x:c r="H34" s="44" t="n" cm="1">
        <x:f t="array" ref="H34:J34">_xlfn.SEQUENCE(1,E32,D28,F28)</x:f>
        <x:v>46164</x:v>
      </x:c>
      <x:c r="I34" s="11" t="n">
        <x:v>92724</x:v>
      </x:c>
      <x:c r="J34" t="n">
        <x:v>139284</x:v>
      </x:c>
    </x:row>
    <x:row r="35">
      <x:c r="E35" t="n">
        <x:f>(F28-D28)/E34</x:f>
        <x:v>1.084931506849315</x:v>
      </x:c>
      <x:c r="H35" s="2" t="n" cm="1">
        <x:f t="array" ref="H35:H38">_xlfn.SEQUENCE(ROUNDDOWN((F28-D28)/(E28-D28),0),1,D28,E28-D28)</x:f>
        <x:v>46164</x:v>
      </x:c>
      <x:c r="I35" s="43"/>
      <x:c r="J35" s="2"/>
      <x:c r="K35" s="2"/>
    </x:row>
    <x:row r="36">
      <x:c r="D36" t="s">
        <x:v>63</x:v>
      </x:c>
      <x:c r="E36" s="44" t="n">
        <x:f>ROUNDDOWN((F28-D28)/(E28-D28),0)</x:f>
        <x:v>4</x:v>
      </x:c>
      <x:c r="G36" s="11" t="n">
        <x:f>H36-H35</x:f>
        <x:v>92</x:v>
      </x:c>
      <x:c r="H36" s="2" t="n">
        <x:v>46256</x:v>
      </x:c>
    </x:row>
    <x:row r="37">
      <x:c r="H37" s="2" t="n">
        <x:v>46348</x:v>
      </x:c>
    </x:row>
    <x:row r="38">
      <x:c r="H38" s="2" t="n">
        <x:v>46440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14.375" customWidth="1"/>
    <x:col min="2" max="2" width="13.75" customWidth="1"/>
    <x:col min="3" max="3" width="16" customWidth="1"/>
    <x:col min="4" max="4" width="10" customWidth="1"/>
    <x:col min="5" max="5" width="13.25" customWidth="1"/>
    <x:col min="6" max="6" width="14.5" customWidth="1"/>
    <x:col min="7" max="7" width="18.875" customWidth="1"/>
    <x:col min="8" max="8" width="18" customWidth="1"/>
    <x:col min="9" max="9" width="26.875" customWidth="1"/>
    <x:col min="10" max="11" width="18" customWidth="1"/>
    <x:col min="12" max="14" width="12" customWidth="1"/>
    <x:col min="15" max="15" width="13" customWidth="1"/>
    <x:col min="16" max="16" width="4.625" customWidth="1"/>
    <x:col min="17" max="18" width="12.75" customWidth="1"/>
    <x:col min="19" max="19" width="10.125" customWidth="1"/>
    <x:col min="20" max="20" width="7.25" customWidth="1"/>
    <x:col min="21" max="24" width="16" customWidth="1"/>
    <x:col min="25" max="39" width="10" style="2" customWidth="1"/>
    <x:col min="40" max="56" width="9.875" style="2" customWidth="1"/>
    <x:col min="57" max="58" width="9" style="2" customWidth="0"/>
  </x:cols>
  <x:sheetData>
    <x:row r="1" ht="30">
      <x:c r="A1" s="1" t="s">
        <x:v>64</x:v>
      </x:c>
      <x:c r="B1" s="1" t="s">
        <x:v>65</x:v>
      </x:c>
      <x:c r="C1" s="1" t="s">
        <x:v>8</x:v>
      </x:c>
      <x:c r="D1" s="1" t="s">
        <x:v>66</x:v>
      </x:c>
      <x:c r="E1" s="1" t="s">
        <x:v>6</x:v>
      </x:c>
      <x:c r="F1" s="1" t="s">
        <x:v>67</x:v>
      </x:c>
      <x:c r="G1" s="1" t="s">
        <x:v>68</x:v>
      </x:c>
      <x:c r="H1" s="1" t="s">
        <x:v>69</x:v>
      </x:c>
      <x:c r="I1" s="1" t="s">
        <x:v>70</x:v>
      </x:c>
      <x:c r="J1" s="1" t="s">
        <x:v>71</x:v>
      </x:c>
      <x:c r="K1" s="1" t="s">
        <x:v>72</x:v>
      </x:c>
      <x:c r="L1" s="1" t="s">
        <x:v>73</x:v>
      </x:c>
      <x:c r="M1" s="1" t="s">
        <x:v>74</x:v>
      </x:c>
      <x:c r="N1" s="1" t="s">
        <x:v>75</x:v>
      </x:c>
      <x:c r="O1" s="1" t="s">
        <x:v>28</x:v>
      </x:c>
      <x:c r="P1" s="1" t="s">
        <x:v>76</x:v>
      </x:c>
      <x:c r="Q1" s="1" t="s">
        <x:v>77</x:v>
      </x:c>
      <x:c r="R1" s="1" t="s">
        <x:v>78</x:v>
      </x:c>
      <x:c r="S1" s="1" t="s">
        <x:v>79</x:v>
      </x:c>
      <x:c r="T1" s="1" t="s">
        <x:v>80</x:v>
      </x:c>
      <x:c r="U1" s="1" t="s">
        <x:v>81</x:v>
      </x:c>
      <x:c r="V1" s="1" t="s">
        <x:v>82</x:v>
      </x:c>
      <x:c r="W1" s="1" t="s">
        <x:v>83</x:v>
      </x:c>
      <x:c r="X1" t="s">
        <x:v>84</x:v>
      </x:c>
      <x:c r="Z1" s="44" t="n">
        <x:f>COUNTIFS(Y2:AE16,"&gt;="&amp;AA1,Y2:AE16,"&lt;"&amp;AB1)</x:f>
        <x:v>17</x:v>
      </x:c>
      <x:c r="AA1" s="2">
        <x:v>45658</x:v>
      </x:c>
      <x:c r="AB1" s="2">
        <x:v>46023</x:v>
      </x:c>
      <x:c r="BE1" t="str">
        <x:v>Foto</x:v>
      </x:c>
    </x:row>
    <x:row r="2">
      <x:c r="A2" t="s">
        <x:v>85</x:v>
      </x:c>
      <x:c r="B2" t="str">
        <x:f>_xlfn.XLOOKUP(TabelaAtivos[[#This Row],[Ambiente]],TabelaAmbientes[Ambiente],TabelaAmbientes[Cod_ambiente],"",0,1)</x:f>
        <x:v>S2B</x:v>
      </x:c>
      <x:c r="C2" t="s">
        <x:v>20</x:v>
      </x:c>
      <x:c r="D2" t="str">
        <x:f>_xlfn.XLOOKUP(TabelaAtivos[[#This Row],[Ambiente]],TabelaAmbientes[Ambiente],TabelaAmbientes[Zona],"",0,1)</x:f>
        <x:v>Área íntima</x:v>
      </x:c>
      <x:c r="E2" t="s">
        <x:v>26</x:v>
      </x:c>
      <x:c r="F2" t="s">
        <x:v>86</x:v>
      </x:c>
      <x:c r="G2" t="s">
        <x:v>87</x:v>
      </x:c>
      <x:c r="H2" t="s">
        <x:v>88</x:v>
      </x:c>
      <x:c r="I2" t="s">
        <x:v>89</x:v>
      </x:c>
      <x:c r="J2">
        <x:v>1</x:v>
      </x:c>
      <x:c r="K2" t="s">
        <x:v>90</x:v>
      </x:c>
      <x:c r="L2">
        <x:v>12</x:v>
      </x:c>
      <x:c r="M2" s="2">
        <x:v>45667</x:v>
      </x:c>
      <x:c r="N2" s="2" t="n">
        <x:f t="shared" ref="N2:N33" si="0">IF(M2="","",EDATE(M2,L2))</x:f>
        <x:v>46032</x:v>
      </x:c>
      <x:c r="O2" t="n">
        <x:f t="shared" ref="O2:O33" si="1">IF(N2="","",YEAR(N2))</x:f>
        <x:v>2026</x:v>
      </x:c>
      <x:c r="P2" t="str">
        <x:f t="shared" ref="P2:P33" si="2">IF(N2="","",TEXT(N2,"mmm"))</x:f>
        <x:v>Jan</x:v>
      </x:c>
      <x:c r="Q2" s="3">
        <x:v>150</x:v>
      </x:c>
      <x:c r="R2" s="3" t="n">
        <x:f t="shared" ref="R2:R33" si="3">IF(OR(J2="",Q2=""),"",J2*Q2)</x:f>
        <x:v>150</x:v>
      </x:c>
      <x:c r="S2" t="s">
        <x:v>91</x:v>
      </x:c>
      <x:c r="T2" t="s">
        <x:v>92</x:v>
      </x:c>
      <x:c r="U2" t="str">
        <x:f t="shared" ref="U2:U33" si="4">IF(N2="","Sem data",IF(N2&lt;TODAY(),"Vencido",IF(N2&lt;=TODAY()+30,"Próx. 30 dias",IF(N2&lt;=TODAY()+90,"Próx. 90 dias","Programado"))))</x:f>
        <x:v>Vencido</x:v>
      </x:c>
      <x:c r="V2" t="s">
        <x:v>93</x:v>
      </x:c>
      <x:c r="W2" t="s">
        <x:v>94</x:v>
      </x:c>
      <x:c r="X2" s="2">
        <x:v>51482</x:v>
      </x:c>
      <x:c r="Y2" s="2" t="n" cm="1">
        <x:f t="array" ref="Y2:AM2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x:f>
        <x:v>45667</x:v>
      </x:c>
      <x:c r="Z2" s="2" t="n">
        <x:v>46032</x:v>
      </x:c>
      <x:c r="AA2" s="2" t="n">
        <x:v>46397</x:v>
      </x:c>
      <x:c r="AB2" s="2" t="n">
        <x:v>46762</x:v>
      </x:c>
      <x:c r="AC2" s="2" t="n">
        <x:v>47127</x:v>
      </x:c>
      <x:c r="AD2" s="2" t="n">
        <x:v>47492</x:v>
      </x:c>
      <x:c r="AE2" s="2" t="n">
        <x:v>47857</x:v>
      </x:c>
      <x:c r="AF2" s="2" t="n">
        <x:v>48222</x:v>
      </x:c>
      <x:c r="AG2" s="2" t="n">
        <x:v>48587</x:v>
      </x:c>
      <x:c r="AH2" s="2" t="n">
        <x:v>48952</x:v>
      </x:c>
      <x:c r="AI2" s="2" t="n">
        <x:v>49317</x:v>
      </x:c>
      <x:c r="AJ2" s="2" t="n">
        <x:v>49682</x:v>
      </x:c>
      <x:c r="AK2" s="2" t="n">
        <x:v>50047</x:v>
      </x:c>
      <x:c r="AL2" s="2" t="n">
        <x:v>50412</x:v>
      </x:c>
      <x:c r="AM2" s="2" t="n">
        <x:v>50777</x:v>
      </x:c>
      <x:c r="BE2" t="str"/>
    </x:row>
    <x:row r="3">
      <x:c r="A3" t="s">
        <x:v>95</x:v>
      </x:c>
      <x:c r="B3" t="str">
        <x:f>_xlfn.XLOOKUP(TabelaAtivos[[#This Row],[Ambiente]],TabelaAmbientes[Ambiente],TabelaAmbientes[Cod_ambiente],"",0,1)</x:f>
        <x:v>S2B</x:v>
      </x:c>
      <x:c r="C3" t="s">
        <x:v>20</x:v>
      </x:c>
      <x:c r="D3" t="str">
        <x:f>_xlfn.XLOOKUP(TabelaAtivos[[#This Row],[Ambiente]],TabelaAmbientes[Ambiente],TabelaAmbientes[Zona],"",0,1)</x:f>
        <x:v>Área íntima</x:v>
      </x:c>
      <x:c r="E3" t="s">
        <x:v>19</x:v>
      </x:c>
      <x:c r="F3" t="s">
        <x:v>96</x:v>
      </x:c>
      <x:c r="G3" t="s">
        <x:v>87</x:v>
      </x:c>
      <x:c r="H3" t="s">
        <x:v>97</x:v>
      </x:c>
      <x:c r="I3" t="s">
        <x:v>98</x:v>
      </x:c>
      <x:c r="J3">
        <x:v>1</x:v>
      </x:c>
      <x:c r="K3" t="s">
        <x:v>90</x:v>
      </x:c>
      <x:c r="L3">
        <x:v>12</x:v>
      </x:c>
      <x:c r="M3" s="2">
        <x:v>45667</x:v>
      </x:c>
      <x:c r="N3" s="2">
        <x:f t="shared" si="0"/>
        <x:v>46032</x:v>
      </x:c>
      <x:c r="O3">
        <x:f t="shared" si="1"/>
        <x:v>2026</x:v>
      </x:c>
      <x:c r="P3" t="str">
        <x:f t="shared" si="2"/>
        <x:v>jan</x:v>
      </x:c>
      <x:c r="Q3" s="3">
        <x:v>80</x:v>
      </x:c>
      <x:c r="R3" s="3">
        <x:f t="shared" si="3"/>
        <x:v>80</x:v>
      </x:c>
      <x:c r="S3" t="s">
        <x:v>99</x:v>
      </x:c>
      <x:c r="T3" t="s">
        <x:v>92</x:v>
      </x:c>
      <x:c r="U3" t="str">
        <x:f t="shared" si="4"/>
        <x:v>Vencido</x:v>
      </x:c>
      <x:c r="V3" t="s">
        <x:v>93</x:v>
      </x:c>
      <x:c r="X3" s="2">
        <x:v>51482</x:v>
      </x:c>
      <x:c r="Y3" s="2" t="n" cm="1">
        <x:f t="array" ref="Y3:AM3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x:f>
        <x:v>45667</x:v>
      </x:c>
      <x:c r="Z3" s="2" t="n">
        <x:v>46032</x:v>
      </x:c>
      <x:c r="AA3" s="2" t="n">
        <x:v>46397</x:v>
      </x:c>
      <x:c r="AB3" s="2" t="n">
        <x:v>46762</x:v>
      </x:c>
      <x:c r="AC3" s="2" t="n">
        <x:v>47127</x:v>
      </x:c>
      <x:c r="AD3" s="2" t="n">
        <x:v>47492</x:v>
      </x:c>
      <x:c r="AE3" s="2" t="n">
        <x:v>47857</x:v>
      </x:c>
      <x:c r="AF3" s="2" t="n">
        <x:v>48222</x:v>
      </x:c>
      <x:c r="AG3" s="2" t="n">
        <x:v>48587</x:v>
      </x:c>
      <x:c r="AH3" s="2" t="n">
        <x:v>48952</x:v>
      </x:c>
      <x:c r="AI3" s="2" t="n">
        <x:v>49317</x:v>
      </x:c>
      <x:c r="AJ3" s="2" t="n">
        <x:v>49682</x:v>
      </x:c>
      <x:c r="AK3" s="2" t="n">
        <x:v>50047</x:v>
      </x:c>
      <x:c r="AL3" s="2" t="n">
        <x:v>50412</x:v>
      </x:c>
      <x:c r="AM3" s="2" t="n">
        <x:v>50777</x:v>
      </x:c>
      <x:c r="BE3" t="str"/>
    </x:row>
    <x:row r="4">
      <x:c r="A4" t="s">
        <x:v>100</x:v>
      </x:c>
      <x:c r="B4" t="str">
        <x:f>_xlfn.XLOOKUP(TabelaAtivos[[#This Row],[Ambiente]],TabelaAmbientes[Ambiente],TabelaAmbientes[Cod_ambiente],"",0,1)</x:f>
        <x:v>S2B</x:v>
      </x:c>
      <x:c r="C4" t="s">
        <x:v>20</x:v>
      </x:c>
      <x:c r="D4" t="str">
        <x:f>_xlfn.XLOOKUP(TabelaAtivos[[#This Row],[Ambiente]],TabelaAmbientes[Ambiente],TabelaAmbientes[Zona],"",0,1)</x:f>
        <x:v>Área íntima</x:v>
      </x:c>
      <x:c r="E4" t="s">
        <x:v>26</x:v>
      </x:c>
      <x:c r="F4" t="s">
        <x:v>86</x:v>
      </x:c>
      <x:c r="G4" t="s">
        <x:v>101</x:v>
      </x:c>
      <x:c r="H4" t="s">
        <x:v>102</x:v>
      </x:c>
      <x:c r="I4" t="s">
        <x:v>103</x:v>
      </x:c>
      <x:c r="J4">
        <x:v>1</x:v>
      </x:c>
      <x:c r="K4" t="s">
        <x:v>90</x:v>
      </x:c>
      <x:c r="L4">
        <x:v>12</x:v>
      </x:c>
      <x:c r="M4" s="2">
        <x:v>45667</x:v>
      </x:c>
      <x:c r="N4" s="2">
        <x:f t="shared" si="0"/>
        <x:v>46032</x:v>
      </x:c>
      <x:c r="O4">
        <x:f t="shared" si="1"/>
        <x:v>2026</x:v>
      </x:c>
      <x:c r="P4" t="str">
        <x:f t="shared" si="2"/>
        <x:v>jan</x:v>
      </x:c>
      <x:c r="Q4" s="3">
        <x:v>150</x:v>
      </x:c>
      <x:c r="R4" s="3">
        <x:f t="shared" si="3"/>
        <x:v>150</x:v>
      </x:c>
      <x:c r="S4" t="s">
        <x:v>91</x:v>
      </x:c>
      <x:c r="T4" t="s">
        <x:v>92</x:v>
      </x:c>
      <x:c r="U4" t="str">
        <x:f t="shared" si="4"/>
        <x:v>Vencido</x:v>
      </x:c>
      <x:c r="V4" t="s">
        <x:v>93</x:v>
      </x:c>
      <x:c r="X4" s="2">
        <x:v>51482</x:v>
      </x:c>
      <x:c r="Y4" s="2" t="n" cm="1">
        <x:f t="array" ref="Y4:AM4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x:f>
        <x:v>45667</x:v>
      </x:c>
      <x:c r="Z4" s="2" t="n">
        <x:v>46032</x:v>
      </x:c>
      <x:c r="AA4" s="2" t="n">
        <x:v>46397</x:v>
      </x:c>
      <x:c r="AB4" s="2" t="n">
        <x:v>46762</x:v>
      </x:c>
      <x:c r="AC4" s="2" t="n">
        <x:v>47127</x:v>
      </x:c>
      <x:c r="AD4" s="2" t="n">
        <x:v>47492</x:v>
      </x:c>
      <x:c r="AE4" s="2" t="n">
        <x:v>47857</x:v>
      </x:c>
      <x:c r="AF4" s="2" t="n">
        <x:v>48222</x:v>
      </x:c>
      <x:c r="AG4" s="2" t="n">
        <x:v>48587</x:v>
      </x:c>
      <x:c r="AH4" s="2" t="n">
        <x:v>48952</x:v>
      </x:c>
      <x:c r="AI4" s="2" t="n">
        <x:v>49317</x:v>
      </x:c>
      <x:c r="AJ4" s="2" t="n">
        <x:v>49682</x:v>
      </x:c>
      <x:c r="AK4" s="2" t="n">
        <x:v>50047</x:v>
      </x:c>
      <x:c r="AL4" s="2" t="n">
        <x:v>50412</x:v>
      </x:c>
      <x:c r="AM4" s="2" t="n">
        <x:v>50777</x:v>
      </x:c>
      <x:c r="BE4" t="str"/>
    </x:row>
    <x:row r="5">
      <x:c r="A5" t="s">
        <x:v>104</x:v>
      </x:c>
      <x:c r="B5" t="str">
        <x:f>_xlfn.XLOOKUP(TabelaAtivos[[#This Row],[Ambiente]],TabelaAmbientes[Ambiente],TabelaAmbientes[Cod_ambiente],"",0,1)</x:f>
        <x:v>SALA</x:v>
      </x:c>
      <x:c r="C5" t="s">
        <x:v>33</x:v>
      </x:c>
      <x:c r="D5" t="str">
        <x:f>_xlfn.XLOOKUP(TabelaAtivos[[#This Row],[Ambiente]],TabelaAmbientes[Ambiente],TabelaAmbientes[Zona],"",0,1)</x:f>
        <x:v>Social</x:v>
      </x:c>
      <x:c r="E5" t="s">
        <x:v>10</x:v>
      </x:c>
      <x:c r="F5" t="s">
        <x:v>105</x:v>
      </x:c>
      <x:c r="G5" t="s">
        <x:v>106</x:v>
      </x:c>
      <x:c r="H5" t="s">
        <x:v>107</x:v>
      </x:c>
      <x:c r="I5" t="s">
        <x:v>108</x:v>
      </x:c>
      <x:c r="J5">
        <x:v>1</x:v>
      </x:c>
      <x:c r="K5" t="s">
        <x:v>90</x:v>
      </x:c>
      <x:c r="L5">
        <x:v>6</x:v>
      </x:c>
      <x:c r="M5" s="2">
        <x:v>45667</x:v>
      </x:c>
      <x:c r="N5" s="2">
        <x:f t="shared" si="0"/>
        <x:v>45848</x:v>
      </x:c>
      <x:c r="O5">
        <x:f t="shared" si="1"/>
        <x:v>2025</x:v>
      </x:c>
      <x:c r="P5" t="str">
        <x:f t="shared" si="2"/>
        <x:v>jul</x:v>
      </x:c>
      <x:c r="Q5" s="3">
        <x:v>180</x:v>
      </x:c>
      <x:c r="R5" s="3">
        <x:f t="shared" si="3"/>
        <x:v>180</x:v>
      </x:c>
      <x:c r="S5" t="s">
        <x:v>109</x:v>
      </x:c>
      <x:c r="T5" t="s">
        <x:v>110</x:v>
      </x:c>
      <x:c r="U5" t="str">
        <x:f t="shared" si="4"/>
        <x:v>Vencido</x:v>
      </x:c>
      <x:c r="V5" t="s">
        <x:v>111</x:v>
      </x:c>
      <x:c r="X5" s="2">
        <x:v>51482</x:v>
      </x:c>
      <x:c r="Y5" s="2" t="n" cm="1">
        <x:f t="array" ref="Y5:BD5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x:f>
        <x:v>45667</x:v>
      </x:c>
      <x:c r="Z5" s="2" t="n">
        <x:v>45848</x:v>
      </x:c>
      <x:c r="AA5" s="2" t="n">
        <x:v>46029</x:v>
      </x:c>
      <x:c r="AB5" s="2" t="n">
        <x:v>46210</x:v>
      </x:c>
      <x:c r="AC5" s="2" t="n">
        <x:v>46391</x:v>
      </x:c>
      <x:c r="AD5" s="2" t="n">
        <x:v>46572</x:v>
      </x:c>
      <x:c r="AE5" s="2" t="n">
        <x:v>46753</x:v>
      </x:c>
      <x:c r="AF5" s="2" t="n">
        <x:v>46934</x:v>
      </x:c>
      <x:c r="AG5" s="2" t="n">
        <x:v>47115</x:v>
      </x:c>
      <x:c r="AH5" s="2" t="n">
        <x:v>47296</x:v>
      </x:c>
      <x:c r="AI5" s="2" t="n">
        <x:v>47477</x:v>
      </x:c>
      <x:c r="AJ5" s="2" t="n">
        <x:v>47658</x:v>
      </x:c>
      <x:c r="AK5" s="2" t="n">
        <x:v>47839</x:v>
      </x:c>
      <x:c r="AL5" s="2" t="n">
        <x:v>48020</x:v>
      </x:c>
      <x:c r="AM5" s="2" t="n">
        <x:v>48201</x:v>
      </x:c>
      <x:c r="AN5" s="2" t="n">
        <x:v>48382</x:v>
      </x:c>
      <x:c r="AO5" s="2" t="n">
        <x:v>48563</x:v>
      </x:c>
      <x:c r="AP5" s="2" t="n">
        <x:v>48744</x:v>
      </x:c>
      <x:c r="AQ5" s="2" t="n">
        <x:v>48925</x:v>
      </x:c>
      <x:c r="AR5" s="2" t="n">
        <x:v>49106</x:v>
      </x:c>
      <x:c r="AS5" s="2" t="n">
        <x:v>49287</x:v>
      </x:c>
      <x:c r="AT5" s="2" t="n">
        <x:v>49468</x:v>
      </x:c>
      <x:c r="AU5" s="2" t="n">
        <x:v>49649</x:v>
      </x:c>
      <x:c r="AV5" s="2" t="n">
        <x:v>49830</x:v>
      </x:c>
      <x:c r="AW5" s="2" t="n">
        <x:v>50011</x:v>
      </x:c>
      <x:c r="AX5" s="2" t="n">
        <x:v>50192</x:v>
      </x:c>
      <x:c r="AY5" s="2" t="n">
        <x:v>50373</x:v>
      </x:c>
      <x:c r="AZ5" s="2" t="n">
        <x:v>50554</x:v>
      </x:c>
      <x:c r="BA5" s="2" t="n">
        <x:v>50735</x:v>
      </x:c>
      <x:c r="BB5" s="2" t="n">
        <x:v>50916</x:v>
      </x:c>
      <x:c r="BC5" s="2" t="n">
        <x:v>51097</x:v>
      </x:c>
      <x:c r="BD5" s="2" t="n">
        <x:v>51278</x:v>
      </x:c>
      <x:c r="BE5" t="str"/>
    </x:row>
    <x:row r="6">
      <x:c r="A6" t="s">
        <x:v>112</x:v>
      </x:c>
      <x:c r="B6" t="str">
        <x:f>_xlfn.XLOOKUP(TabelaAtivos[[#This Row],[Ambiente]],TabelaAmbientes[Ambiente],TabelaAmbientes[Cod_ambiente],"",0,1)</x:f>
        <x:v>S1</x:v>
      </x:c>
      <x:c r="C6" t="s">
        <x:v>11</x:v>
      </x:c>
      <x:c r="D6" t="str">
        <x:f>_xlfn.XLOOKUP(TabelaAtivos[[#This Row],[Ambiente]],TabelaAmbientes[Ambiente],TabelaAmbientes[Zona],"",0,1)</x:f>
        <x:v>Área íntima</x:v>
      </x:c>
      <x:c r="E6" t="s">
        <x:v>10</x:v>
      </x:c>
      <x:c r="F6" t="s">
        <x:v>105</x:v>
      </x:c>
      <x:c r="G6" t="s">
        <x:v>106</x:v>
      </x:c>
      <x:c r="H6" t="s">
        <x:v>107</x:v>
      </x:c>
      <x:c r="I6" t="s">
        <x:v>108</x:v>
      </x:c>
      <x:c r="J6">
        <x:v>1</x:v>
      </x:c>
      <x:c r="K6" t="s">
        <x:v>90</x:v>
      </x:c>
      <x:c r="L6">
        <x:v>6</x:v>
      </x:c>
      <x:c r="M6" s="2">
        <x:v>45667</x:v>
      </x:c>
      <x:c r="N6" s="2">
        <x:f t="shared" si="0"/>
        <x:v>45848</x:v>
      </x:c>
      <x:c r="O6">
        <x:f t="shared" si="1"/>
        <x:v>2025</x:v>
      </x:c>
      <x:c r="P6" t="str">
        <x:f t="shared" si="2"/>
        <x:v>jul</x:v>
      </x:c>
      <x:c r="Q6" s="3">
        <x:v>180</x:v>
      </x:c>
      <x:c r="R6" s="3">
        <x:f t="shared" si="3"/>
        <x:v>180</x:v>
      </x:c>
      <x:c r="S6" t="s">
        <x:v>109</x:v>
      </x:c>
      <x:c r="T6" t="s">
        <x:v>92</x:v>
      </x:c>
      <x:c r="U6" t="str">
        <x:f t="shared" si="4"/>
        <x:v>Vencido</x:v>
      </x:c>
      <x:c r="V6" t="s">
        <x:v>111</x:v>
      </x:c>
      <x:c r="X6" s="2">
        <x:v>51482</x:v>
      </x:c>
      <x:c r="Y6" s="2" t="n" cm="1">
        <x:f t="array" ref="Y6:BD6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x:f>
        <x:v>45667</x:v>
      </x:c>
      <x:c r="Z6" s="2" t="n">
        <x:v>45848</x:v>
      </x:c>
      <x:c r="AA6" s="2" t="n">
        <x:v>46029</x:v>
      </x:c>
      <x:c r="AB6" s="2" t="n">
        <x:v>46210</x:v>
      </x:c>
      <x:c r="AC6" s="2" t="n">
        <x:v>46391</x:v>
      </x:c>
      <x:c r="AD6" s="2" t="n">
        <x:v>46572</x:v>
      </x:c>
      <x:c r="AE6" s="2" t="n">
        <x:v>46753</x:v>
      </x:c>
      <x:c r="AF6" s="2" t="n">
        <x:v>46934</x:v>
      </x:c>
      <x:c r="AG6" s="2" t="n">
        <x:v>47115</x:v>
      </x:c>
      <x:c r="AH6" s="2" t="n">
        <x:v>47296</x:v>
      </x:c>
      <x:c r="AI6" s="2" t="n">
        <x:v>47477</x:v>
      </x:c>
      <x:c r="AJ6" s="2" t="n">
        <x:v>47658</x:v>
      </x:c>
      <x:c r="AK6" s="2" t="n">
        <x:v>47839</x:v>
      </x:c>
      <x:c r="AL6" s="2" t="n">
        <x:v>48020</x:v>
      </x:c>
      <x:c r="AM6" s="2" t="n">
        <x:v>48201</x:v>
      </x:c>
      <x:c r="AN6" s="2" t="n">
        <x:v>48382</x:v>
      </x:c>
      <x:c r="AO6" s="2" t="n">
        <x:v>48563</x:v>
      </x:c>
      <x:c r="AP6" s="2" t="n">
        <x:v>48744</x:v>
      </x:c>
      <x:c r="AQ6" s="2" t="n">
        <x:v>48925</x:v>
      </x:c>
      <x:c r="AR6" s="2" t="n">
        <x:v>49106</x:v>
      </x:c>
      <x:c r="AS6" s="2" t="n">
        <x:v>49287</x:v>
      </x:c>
      <x:c r="AT6" s="2" t="n">
        <x:v>49468</x:v>
      </x:c>
      <x:c r="AU6" s="2" t="n">
        <x:v>49649</x:v>
      </x:c>
      <x:c r="AV6" s="2" t="n">
        <x:v>49830</x:v>
      </x:c>
      <x:c r="AW6" s="2" t="n">
        <x:v>50011</x:v>
      </x:c>
      <x:c r="AX6" s="2" t="n">
        <x:v>50192</x:v>
      </x:c>
      <x:c r="AY6" s="2" t="n">
        <x:v>50373</x:v>
      </x:c>
      <x:c r="AZ6" s="2" t="n">
        <x:v>50554</x:v>
      </x:c>
      <x:c r="BA6" s="2" t="n">
        <x:v>50735</x:v>
      </x:c>
      <x:c r="BB6" s="2" t="n">
        <x:v>50916</x:v>
      </x:c>
      <x:c r="BC6" s="2" t="n">
        <x:v>51097</x:v>
      </x:c>
      <x:c r="BD6" s="2" t="n">
        <x:v>51278</x:v>
      </x:c>
      <x:c r="BE6" t="str"/>
    </x:row>
    <x:row r="7">
      <x:c r="A7" t="s">
        <x:v>113</x:v>
      </x:c>
      <x:c r="B7" t="str">
        <x:f>_xlfn.XLOOKUP(TabelaAtivos[[#This Row],[Ambiente]],TabelaAmbientes[Ambiente],TabelaAmbientes[Cod_ambiente],"",0,1)</x:f>
        <x:v>S2</x:v>
      </x:c>
      <x:c r="C7" t="s">
        <x:v>17</x:v>
      </x:c>
      <x:c r="D7" t="str">
        <x:f>_xlfn.XLOOKUP(TabelaAtivos[[#This Row],[Ambiente]],TabelaAmbientes[Ambiente],TabelaAmbientes[Zona],"",0,1)</x:f>
        <x:v>Área íntima</x:v>
      </x:c>
      <x:c r="E7" t="s">
        <x:v>10</x:v>
      </x:c>
      <x:c r="F7" t="s">
        <x:v>105</x:v>
      </x:c>
      <x:c r="G7" t="s">
        <x:v>106</x:v>
      </x:c>
      <x:c r="H7" t="s">
        <x:v>107</x:v>
      </x:c>
      <x:c r="I7" t="s">
        <x:v>108</x:v>
      </x:c>
      <x:c r="J7">
        <x:v>1</x:v>
      </x:c>
      <x:c r="K7" t="s">
        <x:v>90</x:v>
      </x:c>
      <x:c r="L7">
        <x:v>6</x:v>
      </x:c>
      <x:c r="M7" s="2">
        <x:v>45667</x:v>
      </x:c>
      <x:c r="N7" s="2">
        <x:f t="shared" si="0"/>
        <x:v>45848</x:v>
      </x:c>
      <x:c r="O7">
        <x:f t="shared" si="1"/>
        <x:v>2025</x:v>
      </x:c>
      <x:c r="P7" t="str">
        <x:f t="shared" si="2"/>
        <x:v>jul</x:v>
      </x:c>
      <x:c r="Q7" s="3">
        <x:v>180</x:v>
      </x:c>
      <x:c r="R7" s="3">
        <x:f t="shared" si="3"/>
        <x:v>180</x:v>
      </x:c>
      <x:c r="S7" t="s">
        <x:v>109</x:v>
      </x:c>
      <x:c r="T7" t="s">
        <x:v>92</x:v>
      </x:c>
      <x:c r="U7" t="str">
        <x:f t="shared" si="4"/>
        <x:v>Vencido</x:v>
      </x:c>
      <x:c r="V7" t="s">
        <x:v>111</x:v>
      </x:c>
      <x:c r="X7" s="2">
        <x:v>51482</x:v>
      </x:c>
      <x:c r="Y7" s="2" t="n" cm="1">
        <x:f t="array" ref="Y7:BD7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x:f>
        <x:v>45667</x:v>
      </x:c>
      <x:c r="Z7" s="2" t="n">
        <x:v>45848</x:v>
      </x:c>
      <x:c r="AA7" s="2" t="n">
        <x:v>46029</x:v>
      </x:c>
      <x:c r="AB7" s="2" t="n">
        <x:v>46210</x:v>
      </x:c>
      <x:c r="AC7" s="2" t="n">
        <x:v>46391</x:v>
      </x:c>
      <x:c r="AD7" s="2" t="n">
        <x:v>46572</x:v>
      </x:c>
      <x:c r="AE7" s="2" t="n">
        <x:v>46753</x:v>
      </x:c>
      <x:c r="AF7" s="2" t="n">
        <x:v>46934</x:v>
      </x:c>
      <x:c r="AG7" s="2" t="n">
        <x:v>47115</x:v>
      </x:c>
      <x:c r="AH7" s="2" t="n">
        <x:v>47296</x:v>
      </x:c>
      <x:c r="AI7" s="2" t="n">
        <x:v>47477</x:v>
      </x:c>
      <x:c r="AJ7" s="2" t="n">
        <x:v>47658</x:v>
      </x:c>
      <x:c r="AK7" s="2" t="n">
        <x:v>47839</x:v>
      </x:c>
      <x:c r="AL7" s="2" t="n">
        <x:v>48020</x:v>
      </x:c>
      <x:c r="AM7" s="2" t="n">
        <x:v>48201</x:v>
      </x:c>
      <x:c r="AN7" s="2" t="n">
        <x:v>48382</x:v>
      </x:c>
      <x:c r="AO7" s="2" t="n">
        <x:v>48563</x:v>
      </x:c>
      <x:c r="AP7" s="2" t="n">
        <x:v>48744</x:v>
      </x:c>
      <x:c r="AQ7" s="2" t="n">
        <x:v>48925</x:v>
      </x:c>
      <x:c r="AR7" s="2" t="n">
        <x:v>49106</x:v>
      </x:c>
      <x:c r="AS7" s="2" t="n">
        <x:v>49287</x:v>
      </x:c>
      <x:c r="AT7" s="2" t="n">
        <x:v>49468</x:v>
      </x:c>
      <x:c r="AU7" s="2" t="n">
        <x:v>49649</x:v>
      </x:c>
      <x:c r="AV7" s="2" t="n">
        <x:v>49830</x:v>
      </x:c>
      <x:c r="AW7" s="2" t="n">
        <x:v>50011</x:v>
      </x:c>
      <x:c r="AX7" s="2" t="n">
        <x:v>50192</x:v>
      </x:c>
      <x:c r="AY7" s="2" t="n">
        <x:v>50373</x:v>
      </x:c>
      <x:c r="AZ7" s="2" t="n">
        <x:v>50554</x:v>
      </x:c>
      <x:c r="BA7" s="2" t="n">
        <x:v>50735</x:v>
      </x:c>
      <x:c r="BB7" s="2" t="n">
        <x:v>50916</x:v>
      </x:c>
      <x:c r="BC7" s="2" t="n">
        <x:v>51097</x:v>
      </x:c>
      <x:c r="BD7" s="2" t="n">
        <x:v>51278</x:v>
      </x:c>
      <x:c r="BE7" t="str"/>
    </x:row>
    <x:row r="8">
      <x:c r="A8" t="s">
        <x:v>114</x:v>
      </x:c>
      <x:c r="B8" t="str">
        <x:f>_xlfn.XLOOKUP(TabelaAtivos[[#This Row],[Ambiente]],TabelaAmbientes[Ambiente],TabelaAmbientes[Cod_ambiente],"",0,1)</x:f>
        <x:v>S3</x:v>
      </x:c>
      <x:c r="C8" t="s">
        <x:v>22</x:v>
      </x:c>
      <x:c r="D8" t="str">
        <x:f>_xlfn.XLOOKUP(TabelaAtivos[[#This Row],[Ambiente]],TabelaAmbientes[Ambiente],TabelaAmbientes[Zona],"",0,1)</x:f>
        <x:v>Área íntima</x:v>
      </x:c>
      <x:c r="E8" t="s">
        <x:v>10</x:v>
      </x:c>
      <x:c r="F8" t="s">
        <x:v>105</x:v>
      </x:c>
      <x:c r="G8" t="s">
        <x:v>106</x:v>
      </x:c>
      <x:c r="H8" t="s">
        <x:v>107</x:v>
      </x:c>
      <x:c r="I8" t="s">
        <x:v>108</x:v>
      </x:c>
      <x:c r="J8">
        <x:v>1</x:v>
      </x:c>
      <x:c r="K8" t="s">
        <x:v>90</x:v>
      </x:c>
      <x:c r="L8">
        <x:v>6</x:v>
      </x:c>
      <x:c r="M8" s="2">
        <x:v>45667</x:v>
      </x:c>
      <x:c r="N8" s="2">
        <x:f t="shared" si="0"/>
        <x:v>45848</x:v>
      </x:c>
      <x:c r="O8">
        <x:f t="shared" si="1"/>
        <x:v>2025</x:v>
      </x:c>
      <x:c r="P8" t="str">
        <x:f t="shared" si="2"/>
        <x:v>jul</x:v>
      </x:c>
      <x:c r="Q8" s="3">
        <x:v>180</x:v>
      </x:c>
      <x:c r="R8" s="3">
        <x:f t="shared" si="3"/>
        <x:v>180</x:v>
      </x:c>
      <x:c r="S8" t="s">
        <x:v>109</x:v>
      </x:c>
      <x:c r="T8" t="s">
        <x:v>92</x:v>
      </x:c>
      <x:c r="U8" t="str">
        <x:f t="shared" si="4"/>
        <x:v>Vencido</x:v>
      </x:c>
      <x:c r="V8" t="s">
        <x:v>111</x:v>
      </x:c>
      <x:c r="X8" s="2">
        <x:v>51482</x:v>
      </x:c>
      <x:c r="Y8" s="2" t="n" cm="1">
        <x:f t="array" ref="Y8:BD8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x:f>
        <x:v>45667</x:v>
      </x:c>
      <x:c r="Z8" s="2" t="n">
        <x:v>45848</x:v>
      </x:c>
      <x:c r="AA8" s="2" t="n">
        <x:v>46029</x:v>
      </x:c>
      <x:c r="AB8" s="2" t="n">
        <x:v>46210</x:v>
      </x:c>
      <x:c r="AC8" s="2" t="n">
        <x:v>46391</x:v>
      </x:c>
      <x:c r="AD8" s="2" t="n">
        <x:v>46572</x:v>
      </x:c>
      <x:c r="AE8" s="2" t="n">
        <x:v>46753</x:v>
      </x:c>
      <x:c r="AF8" s="2" t="n">
        <x:v>46934</x:v>
      </x:c>
      <x:c r="AG8" s="2" t="n">
        <x:v>47115</x:v>
      </x:c>
      <x:c r="AH8" s="2" t="n">
        <x:v>47296</x:v>
      </x:c>
      <x:c r="AI8" s="2" t="n">
        <x:v>47477</x:v>
      </x:c>
      <x:c r="AJ8" s="2" t="n">
        <x:v>47658</x:v>
      </x:c>
      <x:c r="AK8" s="2" t="n">
        <x:v>47839</x:v>
      </x:c>
      <x:c r="AL8" s="2" t="n">
        <x:v>48020</x:v>
      </x:c>
      <x:c r="AM8" s="2" t="n">
        <x:v>48201</x:v>
      </x:c>
      <x:c r="AN8" s="2" t="n">
        <x:v>48382</x:v>
      </x:c>
      <x:c r="AO8" s="2" t="n">
        <x:v>48563</x:v>
      </x:c>
      <x:c r="AP8" s="2" t="n">
        <x:v>48744</x:v>
      </x:c>
      <x:c r="AQ8" s="2" t="n">
        <x:v>48925</x:v>
      </x:c>
      <x:c r="AR8" s="2" t="n">
        <x:v>49106</x:v>
      </x:c>
      <x:c r="AS8" s="2" t="n">
        <x:v>49287</x:v>
      </x:c>
      <x:c r="AT8" s="2" t="n">
        <x:v>49468</x:v>
      </x:c>
      <x:c r="AU8" s="2" t="n">
        <x:v>49649</x:v>
      </x:c>
      <x:c r="AV8" s="2" t="n">
        <x:v>49830</x:v>
      </x:c>
      <x:c r="AW8" s="2" t="n">
        <x:v>50011</x:v>
      </x:c>
      <x:c r="AX8" s="2" t="n">
        <x:v>50192</x:v>
      </x:c>
      <x:c r="AY8" s="2" t="n">
        <x:v>50373</x:v>
      </x:c>
      <x:c r="AZ8" s="2" t="n">
        <x:v>50554</x:v>
      </x:c>
      <x:c r="BA8" s="2" t="n">
        <x:v>50735</x:v>
      </x:c>
      <x:c r="BB8" s="2" t="n">
        <x:v>50916</x:v>
      </x:c>
      <x:c r="BC8" s="2" t="n">
        <x:v>51097</x:v>
      </x:c>
      <x:c r="BD8" s="2" t="n">
        <x:v>51278</x:v>
      </x:c>
      <x:c r="BE8" t="str"/>
    </x:row>
    <x:row r="9">
      <x:c r="A9" t="s">
        <x:v>115</x:v>
      </x:c>
      <x:c r="B9" t="str">
        <x:f>_xlfn.XLOOKUP(TabelaAtivos[[#This Row],[Ambiente]],TabelaAmbientes[Ambiente],TabelaAmbientes[Cod_ambiente],"",0,1)</x:f>
        <x:v>SALA</x:v>
      </x:c>
      <x:c r="C9" t="s">
        <x:v>33</x:v>
      </x:c>
      <x:c r="D9" t="str">
        <x:f>_xlfn.XLOOKUP(TabelaAtivos[[#This Row],[Ambiente]],TabelaAmbientes[Ambiente],TabelaAmbientes[Zona],"",0,1)</x:f>
        <x:v>Social</x:v>
      </x:c>
      <x:c r="E9" t="s">
        <x:v>16</x:v>
      </x:c>
      <x:c r="F9" t="s">
        <x:v>116</x:v>
      </x:c>
      <x:c r="G9" t="s">
        <x:v>117</x:v>
      </x:c>
      <x:c r="H9" t="s">
        <x:v>118</x:v>
      </x:c>
      <x:c r="I9" t="s">
        <x:v>119</x:v>
      </x:c>
      <x:c r="J9">
        <x:v>1</x:v>
      </x:c>
      <x:c r="K9" t="s">
        <x:v>90</x:v>
      </x:c>
      <x:c r="L9">
        <x:v>24</x:v>
      </x:c>
      <x:c r="M9" s="2">
        <x:v>45667</x:v>
      </x:c>
      <x:c r="N9" s="2">
        <x:f t="shared" si="0"/>
        <x:v>46397</x:v>
      </x:c>
      <x:c r="O9">
        <x:f t="shared" si="1"/>
        <x:v>2027</x:v>
      </x:c>
      <x:c r="P9" t="str">
        <x:f t="shared" si="2"/>
        <x:v>jan</x:v>
      </x:c>
      <x:c r="Q9" s="3">
        <x:v>20000</x:v>
      </x:c>
      <x:c r="R9" s="3">
        <x:f t="shared" si="3"/>
        <x:v>20000</x:v>
      </x:c>
      <x:c r="S9" t="s">
        <x:v>91</x:v>
      </x:c>
      <x:c r="T9" t="s">
        <x:v>92</x:v>
      </x:c>
      <x:c r="U9" t="str">
        <x:f t="shared" si="4"/>
        <x:v>Programado</x:v>
      </x:c>
      <x:c r="V9" t="s">
        <x:v>120</x:v>
      </x:c>
      <x:c r="W9" t="s">
        <x:v>121</x:v>
      </x:c>
      <x:c r="X9" s="2">
        <x:v>51482</x:v>
      </x:c>
      <x:c r="Y9" s="2" t="n" cm="1">
        <x:f t="array" ref="Y9:AE9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x:f>
        <x:v>45667</x:v>
      </x:c>
      <x:c r="Z9" s="2" t="n">
        <x:v>46397</x:v>
      </x:c>
      <x:c r="AA9" s="2" t="n">
        <x:v>47127</x:v>
      </x:c>
      <x:c r="AB9" s="2" t="n">
        <x:v>47857</x:v>
      </x:c>
      <x:c r="AC9" s="2" t="n">
        <x:v>48587</x:v>
      </x:c>
      <x:c r="AD9" s="2" t="n">
        <x:v>49317</x:v>
      </x:c>
      <x:c r="AE9" s="2" t="n">
        <x:v>50047</x:v>
      </x:c>
      <x:c r="BE9" t="str"/>
    </x:row>
    <x:row r="10">
      <x:c r="A10" t="s">
        <x:v>122</x:v>
      </x:c>
      <x:c r="B10" t="str">
        <x:f>_xlfn.XLOOKUP(TabelaAtivos[[#This Row],[Ambiente]],TabelaAmbientes[Ambiente],TabelaAmbientes[Cod_ambiente],"",0,1)</x:f>
        <x:v>ESC1</x:v>
      </x:c>
      <x:c r="C10" t="s">
        <x:v>27</x:v>
      </x:c>
      <x:c r="D10" t="str">
        <x:f>_xlfn.XLOOKUP(TabelaAtivos[[#This Row],[Ambiente]],TabelaAmbientes[Ambiente],TabelaAmbientes[Zona],"",0,1)</x:f>
        <x:v>Trabalho</x:v>
      </x:c>
      <x:c r="E10" t="s">
        <x:v>16</x:v>
      </x:c>
      <x:c r="F10" t="s">
        <x:v>123</x:v>
      </x:c>
      <x:c r="G10" t="s">
        <x:v>124</x:v>
      </x:c>
      <x:c r="H10" t="s">
        <x:v>125</x:v>
      </x:c>
      <x:c r="I10" t="s">
        <x:v>119</x:v>
      </x:c>
      <x:c r="J10">
        <x:v>1</x:v>
      </x:c>
      <x:c r="K10" t="s">
        <x:v>126</x:v>
      </x:c>
      <x:c r="L10">
        <x:v>24</x:v>
      </x:c>
      <x:c r="M10" s="2">
        <x:v>45667</x:v>
      </x:c>
      <x:c r="N10" s="2">
        <x:f t="shared" si="0"/>
        <x:v>46397</x:v>
      </x:c>
      <x:c r="O10">
        <x:f t="shared" si="1"/>
        <x:v>2027</x:v>
      </x:c>
      <x:c r="P10" t="str">
        <x:f t="shared" si="2"/>
        <x:v>jan</x:v>
      </x:c>
      <x:c r="Q10" s="3">
        <x:v>100</x:v>
      </x:c>
      <x:c r="R10" s="3">
        <x:f t="shared" si="3"/>
        <x:v>100</x:v>
      </x:c>
      <x:c r="S10" t="s">
        <x:v>99</x:v>
      </x:c>
      <x:c r="T10" t="s">
        <x:v>92</x:v>
      </x:c>
      <x:c r="U10" t="str">
        <x:f t="shared" si="4"/>
        <x:v>Programado</x:v>
      </x:c>
      <x:c r="V10" t="s">
        <x:v>120</x:v>
      </x:c>
      <x:c r="X10" s="2">
        <x:v>51482</x:v>
      </x:c>
      <x:c r="Y10" s="2" t="n" cm="1">
        <x:f t="array" ref="Y10:AE10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x:f>
        <x:v>45667</x:v>
      </x:c>
      <x:c r="Z10" s="2" t="n">
        <x:v>46397</x:v>
      </x:c>
      <x:c r="AA10" s="2" t="n">
        <x:v>47127</x:v>
      </x:c>
      <x:c r="AB10" s="2" t="n">
        <x:v>47857</x:v>
      </x:c>
      <x:c r="AC10" s="2" t="n">
        <x:v>48587</x:v>
      </x:c>
      <x:c r="AD10" s="2" t="n">
        <x:v>49317</x:v>
      </x:c>
      <x:c r="AE10" s="2" t="n">
        <x:v>50047</x:v>
      </x:c>
      <x:c r="BE10" t="str"/>
    </x:row>
    <x:row r="11">
      <x:c r="A11" t="s">
        <x:v>127</x:v>
      </x:c>
      <x:c r="B11" t="str">
        <x:f>_xlfn.XLOOKUP(TabelaAtivos[[#This Row],[Ambiente]],TabelaAmbientes[Ambiente],TabelaAmbientes[Cod_ambiente],"",0,1)</x:f>
        <x:v>COPA</x:v>
      </x:c>
      <x:c r="C11" t="s">
        <x:v>39</x:v>
      </x:c>
      <x:c r="D11" t="str">
        <x:f>_xlfn.XLOOKUP(TabelaAtivos[[#This Row],[Ambiente]],TabelaAmbientes[Ambiente],TabelaAmbientes[Zona],"",0,1)</x:f>
        <x:v>Serviço</x:v>
      </x:c>
      <x:c r="E11" t="s">
        <x:v>23</x:v>
      </x:c>
      <x:c r="F11" t="s">
        <x:v>128</x:v>
      </x:c>
      <x:c r="G11" t="s">
        <x:v>129</x:v>
      </x:c>
      <x:c r="H11" t="s">
        <x:v>130</x:v>
      </x:c>
      <x:c r="I11" t="s">
        <x:v>131</x:v>
      </x:c>
      <x:c r="J11">
        <x:v>1</x:v>
      </x:c>
      <x:c r="K11" t="s">
        <x:v>90</x:v>
      </x:c>
      <x:c r="L11">
        <x:v>12</x:v>
      </x:c>
      <x:c r="M11" s="2">
        <x:v>45667</x:v>
      </x:c>
      <x:c r="N11" s="2">
        <x:f t="shared" si="0"/>
        <x:v>46032</x:v>
      </x:c>
      <x:c r="O11">
        <x:f t="shared" si="1"/>
        <x:v>2026</x:v>
      </x:c>
      <x:c r="P11" t="str">
        <x:f t="shared" si="2"/>
        <x:v>jan</x:v>
      </x:c>
      <x:c r="Q11" s="3">
        <x:v>180</x:v>
      </x:c>
      <x:c r="R11" s="3">
        <x:f t="shared" si="3"/>
        <x:v>180</x:v>
      </x:c>
      <x:c r="S11" t="s">
        <x:v>109</x:v>
      </x:c>
      <x:c r="T11" t="s">
        <x:v>92</x:v>
      </x:c>
      <x:c r="U11" t="str">
        <x:f t="shared" si="4"/>
        <x:v>Vencido</x:v>
      </x:c>
      <x:c r="V11" t="s">
        <x:v>132</x:v>
      </x:c>
      <x:c r="X11" s="2">
        <x:v>51482</x:v>
      </x:c>
      <x:c r="Y11" s="2" t="n" cm="1">
        <x:f t="array" ref="Y11:AM11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x:f>
        <x:v>45667</x:v>
      </x:c>
      <x:c r="Z11" s="2" t="n">
        <x:v>46032</x:v>
      </x:c>
      <x:c r="AA11" s="2" t="n">
        <x:v>46397</x:v>
      </x:c>
      <x:c r="AB11" s="2" t="n">
        <x:v>46762</x:v>
      </x:c>
      <x:c r="AC11" s="2" t="n">
        <x:v>47127</x:v>
      </x:c>
      <x:c r="AD11" s="2" t="n">
        <x:v>47492</x:v>
      </x:c>
      <x:c r="AE11" s="2" t="n">
        <x:v>47857</x:v>
      </x:c>
      <x:c r="AF11" s="2" t="n">
        <x:v>48222</x:v>
      </x:c>
      <x:c r="AG11" s="2" t="n">
        <x:v>48587</x:v>
      </x:c>
      <x:c r="AH11" s="2" t="n">
        <x:v>48952</x:v>
      </x:c>
      <x:c r="AI11" s="2" t="n">
        <x:v>49317</x:v>
      </x:c>
      <x:c r="AJ11" s="2" t="n">
        <x:v>49682</x:v>
      </x:c>
      <x:c r="AK11" s="2" t="n">
        <x:v>50047</x:v>
      </x:c>
      <x:c r="AL11" s="2" t="n">
        <x:v>50412</x:v>
      </x:c>
      <x:c r="AM11" s="2" t="n">
        <x:v>50777</x:v>
      </x:c>
      <x:c r="BE11" t="str"/>
    </x:row>
    <x:row r="12">
      <x:c r="A12" t="s">
        <x:v>133</x:v>
      </x:c>
      <x:c r="B12" t="str">
        <x:f>_xlfn.XLOOKUP(TabelaAtivos[[#This Row],[Ambiente]],TabelaAmbientes[Ambiente],TabelaAmbientes[Cod_ambiente],"",0,1)</x:f>
        <x:v>SALA</x:v>
      </x:c>
      <x:c r="C12" t="s">
        <x:v>33</x:v>
      </x:c>
      <x:c r="D12" t="str">
        <x:f>_xlfn.XLOOKUP(TabelaAtivos[[#This Row],[Ambiente]],TabelaAmbientes[Ambiente],TabelaAmbientes[Zona],"",0,1)</x:f>
        <x:v>Social</x:v>
      </x:c>
      <x:c r="E12" t="s">
        <x:v>34</x:v>
      </x:c>
      <x:c r="F12" t="s">
        <x:v>134</x:v>
      </x:c>
      <x:c r="G12" t="s">
        <x:v>135</x:v>
      </x:c>
      <x:c r="H12" t="s">
        <x:v>34</x:v>
      </x:c>
      <x:c r="I12" t="s">
        <x:v>136</x:v>
      </x:c>
      <x:c r="J12">
        <x:v>1</x:v>
      </x:c>
      <x:c r="K12" t="s">
        <x:v>137</x:v>
      </x:c>
      <x:c r="L12">
        <x:v>48</x:v>
      </x:c>
      <x:c r="M12" s="2">
        <x:v>45301</x:v>
      </x:c>
      <x:c r="N12" s="2">
        <x:f t="shared" si="0"/>
        <x:v>46762</x:v>
      </x:c>
      <x:c r="O12">
        <x:f t="shared" si="1"/>
        <x:v>2028</x:v>
      </x:c>
      <x:c r="P12" t="str">
        <x:f t="shared" si="2"/>
        <x:v>jan</x:v>
      </x:c>
      <x:c r="Q12" s="3">
        <x:v>2500</x:v>
      </x:c>
      <x:c r="R12" s="3">
        <x:f t="shared" si="3"/>
        <x:v>2500</x:v>
      </x:c>
      <x:c r="S12" t="s">
        <x:v>91</x:v>
      </x:c>
      <x:c r="T12" t="s">
        <x:v>92</x:v>
      </x:c>
      <x:c r="U12" t="str">
        <x:f t="shared" si="4"/>
        <x:v>Programado</x:v>
      </x:c>
      <x:c r="V12" t="s">
        <x:v>138</x:v>
      </x:c>
      <x:c r="W12" t="s">
        <x:v>139</x:v>
      </x:c>
      <x:c r="X12" s="2">
        <x:v>51482</x:v>
      </x:c>
      <x:c r="Y12" s="2" t="n" cm="1">
        <x:f t="array" ref="Y12:AB12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x:f>
        <x:v>45301</x:v>
      </x:c>
      <x:c r="Z12" s="2" t="n">
        <x:v>46762</x:v>
      </x:c>
      <x:c r="AA12" s="2" t="n">
        <x:v>48223</x:v>
      </x:c>
      <x:c r="AB12" s="2" t="n">
        <x:v>49684</x:v>
      </x:c>
      <x:c r="BE12" t="str"/>
    </x:row>
    <x:row r="13">
      <x:c r="A13" t="s">
        <x:v>140</x:v>
      </x:c>
      <x:c r="B13" t="str">
        <x:f>_xlfn.XLOOKUP(TabelaAtivos[[#This Row],[Ambiente]],TabelaAmbientes[Ambiente],TabelaAmbientes[Cod_ambiente],"",0,1)</x:f>
        <x:v>VAR</x:v>
      </x:c>
      <x:c r="C13" t="s">
        <x:v>35</x:v>
      </x:c>
      <x:c r="D13" t="str">
        <x:f>_xlfn.XLOOKUP(TabelaAtivos[[#This Row],[Ambiente]],TabelaAmbientes[Ambiente],TabelaAmbientes[Zona],"",0,1)</x:f>
        <x:v>Social</x:v>
      </x:c>
      <x:c r="E13" t="s">
        <x:v>36</x:v>
      </x:c>
      <x:c r="F13" t="s">
        <x:v>141</x:v>
      </x:c>
      <x:c r="G13" t="s">
        <x:v>141</x:v>
      </x:c>
      <x:c r="H13" t="s">
        <x:v>142</x:v>
      </x:c>
      <x:c r="I13" t="s">
        <x:v>143</x:v>
      </x:c>
      <x:c r="J13">
        <x:v>1</x:v>
      </x:c>
      <x:c r="K13" t="s">
        <x:v>137</x:v>
      </x:c>
      <x:c r="L13">
        <x:v>36</x:v>
      </x:c>
      <x:c r="M13" s="2">
        <x:v>45301</x:v>
      </x:c>
      <x:c r="N13" s="2">
        <x:f t="shared" si="0"/>
        <x:v>46397</x:v>
      </x:c>
      <x:c r="O13">
        <x:f t="shared" si="1"/>
        <x:v>2027</x:v>
      </x:c>
      <x:c r="P13" t="str">
        <x:f t="shared" si="2"/>
        <x:v>jan</x:v>
      </x:c>
      <x:c r="Q13" s="3">
        <x:v>600</x:v>
      </x:c>
      <x:c r="R13" s="3">
        <x:f t="shared" si="3"/>
        <x:v>600</x:v>
      </x:c>
      <x:c r="S13" t="s">
        <x:v>91</x:v>
      </x:c>
      <x:c r="T13" t="s">
        <x:v>92</x:v>
      </x:c>
      <x:c r="U13" t="str">
        <x:f t="shared" si="4"/>
        <x:v>Programado</x:v>
      </x:c>
      <x:c r="V13" t="s">
        <x:v>144</x:v>
      </x:c>
      <x:c r="X13" s="2">
        <x:v>51482</x:v>
      </x:c>
      <x:c r="Y13" s="2" t="n" cm="1">
        <x:f t="array" ref="Y13:AC13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x:f>
        <x:v>45301</x:v>
      </x:c>
      <x:c r="Z13" s="2" t="n">
        <x:v>46397</x:v>
      </x:c>
      <x:c r="AA13" s="2" t="n">
        <x:v>47493</x:v>
      </x:c>
      <x:c r="AB13" s="2" t="n">
        <x:v>48589</x:v>
      </x:c>
      <x:c r="AC13" s="2" t="n">
        <x:v>49685</x:v>
      </x:c>
      <x:c r="BE13" t="str"/>
    </x:row>
    <x:row r="14">
      <x:c r="A14" t="s">
        <x:v>145</x:v>
      </x:c>
      <x:c r="B14" t="str">
        <x:f>_xlfn.XLOOKUP(TabelaAtivos[[#This Row],[Ambiente]],TabelaAmbientes[Ambiente],TabelaAmbientes[Cod_ambiente],"",0,1)</x:f>
        <x:v>VAR</x:v>
      </x:c>
      <x:c r="C14" t="s">
        <x:v>35</x:v>
      </x:c>
      <x:c r="D14" t="str">
        <x:f>_xlfn.XLOOKUP(TabelaAtivos[[#This Row],[Ambiente]],TabelaAmbientes[Ambiente],TabelaAmbientes[Zona],"",0,1)</x:f>
        <x:v>Social</x:v>
      </x:c>
      <x:c r="E14" t="s">
        <x:v>21</x:v>
      </x:c>
      <x:c r="F14" t="s">
        <x:v>146</x:v>
      </x:c>
      <x:c r="G14" t="s">
        <x:v>147</x:v>
      </x:c>
      <x:c r="H14" t="s">
        <x:v>148</x:v>
      </x:c>
      <x:c r="I14" t="s">
        <x:v>149</x:v>
      </x:c>
      <x:c r="J14">
        <x:v>1</x:v>
      </x:c>
      <x:c r="K14" t="s">
        <x:v>90</x:v>
      </x:c>
      <x:c r="L14">
        <x:v>12</x:v>
      </x:c>
      <x:c r="M14" s="2">
        <x:v>45667</x:v>
      </x:c>
      <x:c r="N14" s="2">
        <x:f t="shared" si="0"/>
        <x:v>46032</x:v>
      </x:c>
      <x:c r="O14">
        <x:f t="shared" si="1"/>
        <x:v>2026</x:v>
      </x:c>
      <x:c r="P14" t="str">
        <x:f t="shared" si="2"/>
        <x:v>jan</x:v>
      </x:c>
      <x:c r="Q14" s="3">
        <x:v>120</x:v>
      </x:c>
      <x:c r="R14" s="3">
        <x:f t="shared" si="3"/>
        <x:v>120</x:v>
      </x:c>
      <x:c r="S14" t="s">
        <x:v>91</x:v>
      </x:c>
      <x:c r="T14" t="s">
        <x:v>110</x:v>
      </x:c>
      <x:c r="U14" t="str">
        <x:f t="shared" si="4"/>
        <x:v>Vencido</x:v>
      </x:c>
      <x:c r="V14" t="s">
        <x:v>150</x:v>
      </x:c>
      <x:c r="X14" s="2">
        <x:v>51482</x:v>
      </x:c>
      <x:c r="Y14" s="2" t="n" cm="1">
        <x:f t="array" ref="Y14:AM14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x:f>
        <x:v>45667</x:v>
      </x:c>
      <x:c r="Z14" s="2" t="n">
        <x:v>46032</x:v>
      </x:c>
      <x:c r="AA14" s="2" t="n">
        <x:v>46397</x:v>
      </x:c>
      <x:c r="AB14" s="2" t="n">
        <x:v>46762</x:v>
      </x:c>
      <x:c r="AC14" s="2" t="n">
        <x:v>47127</x:v>
      </x:c>
      <x:c r="AD14" s="2" t="n">
        <x:v>47492</x:v>
      </x:c>
      <x:c r="AE14" s="2" t="n">
        <x:v>47857</x:v>
      </x:c>
      <x:c r="AF14" s="2" t="n">
        <x:v>48222</x:v>
      </x:c>
      <x:c r="AG14" s="2" t="n">
        <x:v>48587</x:v>
      </x:c>
      <x:c r="AH14" s="2" t="n">
        <x:v>48952</x:v>
      </x:c>
      <x:c r="AI14" s="2" t="n">
        <x:v>49317</x:v>
      </x:c>
      <x:c r="AJ14" s="2" t="n">
        <x:v>49682</x:v>
      </x:c>
      <x:c r="AK14" s="2" t="n">
        <x:v>50047</x:v>
      </x:c>
      <x:c r="AL14" s="2" t="n">
        <x:v>50412</x:v>
      </x:c>
      <x:c r="AM14" s="2" t="n">
        <x:v>50777</x:v>
      </x:c>
      <x:c r="BE14" t="str"/>
    </x:row>
    <x:row r="15">
      <x:c r="A15" t="s">
        <x:v>151</x:v>
      </x:c>
      <x:c r="B15" t="str">
        <x:f>_xlfn.XLOOKUP(TabelaAtivos[[#This Row],[Ambiente]],TabelaAmbientes[Ambiente],TabelaAmbientes[Cod_ambiente],"",0,1)</x:f>
        <x:v>COPA</x:v>
      </x:c>
      <x:c r="C15" t="s">
        <x:v>39</x:v>
      </x:c>
      <x:c r="D15" t="str">
        <x:f>_xlfn.XLOOKUP(TabelaAtivos[[#This Row],[Ambiente]],TabelaAmbientes[Ambiente],TabelaAmbientes[Zona],"",0,1)</x:f>
        <x:v>Serviço</x:v>
      </x:c>
      <x:c r="E15" t="s">
        <x:v>32</x:v>
      </x:c>
      <x:c r="F15" t="s">
        <x:v>152</x:v>
      </x:c>
      <x:c r="G15" t="s">
        <x:v>153</x:v>
      </x:c>
      <x:c r="H15" t="s">
        <x:v>154</x:v>
      </x:c>
      <x:c r="I15" t="s">
        <x:v>155</x:v>
      </x:c>
      <x:c r="J15">
        <x:v>1</x:v>
      </x:c>
      <x:c r="K15" t="s">
        <x:v>137</x:v>
      </x:c>
      <x:c r="L15">
        <x:v>12</x:v>
      </x:c>
      <x:c r="M15" s="2">
        <x:v>45667</x:v>
      </x:c>
      <x:c r="N15" s="2">
        <x:f t="shared" si="0"/>
        <x:v>46032</x:v>
      </x:c>
      <x:c r="O15">
        <x:f t="shared" si="1"/>
        <x:v>2026</x:v>
      </x:c>
      <x:c r="P15" t="str">
        <x:f t="shared" si="2"/>
        <x:v>jan</x:v>
      </x:c>
      <x:c r="Q15" s="3">
        <x:v>150</x:v>
      </x:c>
      <x:c r="R15" s="3">
        <x:f t="shared" si="3"/>
        <x:v>150</x:v>
      </x:c>
      <x:c r="S15" t="s">
        <x:v>99</x:v>
      </x:c>
      <x:c r="T15" t="s">
        <x:v>92</x:v>
      </x:c>
      <x:c r="U15" t="str">
        <x:f t="shared" si="4"/>
        <x:v>Vencido</x:v>
      </x:c>
      <x:c r="V15" t="s">
        <x:v>156</x:v>
      </x:c>
      <x:c r="X15" s="2">
        <x:v>51482</x:v>
      </x:c>
      <x:c r="Y15" s="2" t="n" cm="1">
        <x:f t="array" ref="Y15:AM15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x:f>
        <x:v>45667</x:v>
      </x:c>
      <x:c r="Z15" s="2" t="n">
        <x:v>46032</x:v>
      </x:c>
      <x:c r="AA15" s="2" t="n">
        <x:v>46397</x:v>
      </x:c>
      <x:c r="AB15" s="2" t="n">
        <x:v>46762</x:v>
      </x:c>
      <x:c r="AC15" s="2" t="n">
        <x:v>47127</x:v>
      </x:c>
      <x:c r="AD15" s="2" t="n">
        <x:v>47492</x:v>
      </x:c>
      <x:c r="AE15" s="2" t="n">
        <x:v>47857</x:v>
      </x:c>
      <x:c r="AF15" s="2" t="n">
        <x:v>48222</x:v>
      </x:c>
      <x:c r="AG15" s="2" t="n">
        <x:v>48587</x:v>
      </x:c>
      <x:c r="AH15" s="2" t="n">
        <x:v>48952</x:v>
      </x:c>
      <x:c r="AI15" s="2" t="n">
        <x:v>49317</x:v>
      </x:c>
      <x:c r="AJ15" s="2" t="n">
        <x:v>49682</x:v>
      </x:c>
      <x:c r="AK15" s="2" t="n">
        <x:v>50047</x:v>
      </x:c>
      <x:c r="AL15" s="2" t="n">
        <x:v>50412</x:v>
      </x:c>
      <x:c r="AM15" s="2" t="n">
        <x:v>50777</x:v>
      </x:c>
      <x:c r="BE15" t="str"/>
    </x:row>
    <x:row r="16">
      <x:c r="B16" t="str">
        <x:f>_xlfn.XLOOKUP(TabelaAtivos[[#This Row],[Ambiente]],TabelaAmbientes[Ambiente],TabelaAmbientes[Cod_ambiente],"",0,1)</x:f>
        <x:v>EXT</x:v>
      </x:c>
      <x:c r="C16" t="s">
        <x:v>157</x:v>
      </x:c>
      <x:c r="D16" t="str">
        <x:f>_xlfn.XLOOKUP(TabelaAtivos[[#This Row],[Ambiente]],TabelaAmbientes[Ambiente],TabelaAmbientes[Zona],"",0,1)</x:f>
        <x:v>publica</x:v>
      </x:c>
      <x:c r="E16" t="s">
        <x:v>36</x:v>
      </x:c>
      <x:c r="G16" t="s">
        <x:v>158</x:v>
      </x:c>
      <x:c r="J16">
        <x:v>1</x:v>
      </x:c>
      <x:c r="L16">
        <x:v>60</x:v>
      </x:c>
      <x:c r="M16" s="2">
        <x:v>45667</x:v>
      </x:c>
      <x:c r="N16" s="2">
        <x:f t="shared" si="0"/>
        <x:v>47493</x:v>
      </x:c>
      <x:c r="O16">
        <x:f t="shared" si="1"/>
        <x:v>2030</x:v>
      </x:c>
      <x:c r="P16" t="str">
        <x:f t="shared" si="2"/>
        <x:v>jan</x:v>
      </x:c>
      <x:c r="Q16" s="3">
        <x:v>50000</x:v>
      </x:c>
      <x:c r="R16" s="3">
        <x:f t="shared" si="3"/>
        <x:v>50000</x:v>
      </x:c>
      <x:c r="U16" t="str">
        <x:f t="shared" si="4"/>
        <x:v>Programado</x:v>
      </x:c>
      <x:c r="X16" s="2">
        <x:v>51482</x:v>
      </x:c>
      <x:c r="Y16" s="2" t="n" cm="1">
        <x:f t="array" ref="Y16:AA16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x:f>
        <x:v>45667</x:v>
      </x:c>
      <x:c r="Z16" s="2" t="n">
        <x:v>47493</x:v>
      </x:c>
      <x:c r="AA16" s="2" t="n">
        <x:v>49319</x:v>
      </x:c>
      <x:c r="BE16" t="str"/>
    </x:row>
    <x:row r="17">
      <x:c r="B17" t="str">
        <x:f>_xlfn.XLOOKUP(TabelaAtivos[[#This Row],[Ambiente]],TabelaAmbientes[Ambiente],TabelaAmbientes[Cod_ambiente],"",0,1)</x:f>
      </x:c>
      <x:c r="M17" s="2"/>
      <x:c r="N17" s="2"/>
      <x:c r="O17" t="str">
        <x:f t="shared" si="1"/>
      </x:c>
      <x:c r="P17" t="str">
        <x:f t="shared" si="2"/>
      </x:c>
      <x:c r="Q17" s="3"/>
      <x:c r="R17" s="3" t="str">
        <x:f t="shared" si="3"/>
      </x:c>
      <x:c r="U17" t="str">
        <x:f t="shared" si="4"/>
        <x:v>Sem data</x:v>
      </x:c>
      <x:c r="X17" s="2">
        <x:v>51482</x:v>
      </x:c>
      <x:c r="BE17" t="str"/>
    </x:row>
    <x:row r="18">
      <x:c r="B18" t="str">
        <x:f>_xlfn.XLOOKUP(TabelaAtivos[[#This Row],[Ambiente]],TabelaAmbientes[Ambiente],TabelaAmbientes[Cod_ambiente],"",0,1)</x:f>
      </x:c>
      <x:c r="D18" t="str">
        <x:f>_xlfn.XLOOKUP(TabelaAtivos[[#This Row],[Ambiente]],TabelaAmbientes[Ambiente],TabelaAmbientes[Zona],"",0,1)</x:f>
      </x:c>
      <x:c r="M18" s="2"/>
      <x:c r="N18" s="2" t="str">
        <x:f t="shared" si="0"/>
      </x:c>
      <x:c r="O18" t="str">
        <x:f t="shared" si="1"/>
      </x:c>
      <x:c r="P18" t="str">
        <x:f t="shared" si="2"/>
      </x:c>
      <x:c r="Q18" s="3"/>
      <x:c r="R18" s="3" t="str">
        <x:f t="shared" si="3"/>
      </x:c>
      <x:c r="U18" t="str">
        <x:f t="shared" si="4"/>
        <x:v>Sem data</x:v>
      </x:c>
      <x:c r="X18" s="2">
        <x:v>51482</x:v>
      </x:c>
      <x:c r="Y18" s="2">
        <x:v>13</x:v>
      </x:c>
      <x:c r="Z18" s="2">
        <x:v>17</x:v>
      </x:c>
      <x:c r="BE18" t="str"/>
    </x:row>
    <x:row r="19">
      <x:c r="B19" t="str">
        <x:f>_xlfn.XLOOKUP(TabelaAtivos[[#This Row],[Ambiente]],TabelaAmbientes[Ambiente],TabelaAmbientes[Cod_ambiente],"",0,1)</x:f>
      </x:c>
      <x:c r="D19" t="str">
        <x:f>_xlfn.XLOOKUP(TabelaAtivos[[#This Row],[Ambiente]],TabelaAmbientes[Ambiente],TabelaAmbientes[Zona],"",0,1)</x:f>
      </x:c>
      <x:c r="M19" s="2"/>
      <x:c r="N19" s="2" t="str">
        <x:f t="shared" si="0"/>
      </x:c>
      <x:c r="O19" t="str">
        <x:f t="shared" si="1"/>
      </x:c>
      <x:c r="P19" t="str">
        <x:f t="shared" si="2"/>
      </x:c>
      <x:c r="Q19" s="3"/>
      <x:c r="R19" s="3" t="str">
        <x:f t="shared" si="3"/>
      </x:c>
      <x:c r="U19" t="str">
        <x:f t="shared" si="4"/>
        <x:v>Sem data</x:v>
      </x:c>
      <x:c r="X19" s="2">
        <x:v>51482</x:v>
      </x:c>
      <x:c r="BE19" t="str"/>
    </x:row>
    <x:row r="20">
      <x:c r="B20" t="str">
        <x:f>_xlfn.XLOOKUP(TabelaAtivos[[#This Row],[Ambiente]],TabelaAmbientes[Ambiente],TabelaAmbientes[Cod_ambiente],"",0,1)</x:f>
        <x:v>DEP</x:v>
      </x:c>
      <x:c r="C20" t="s">
        <x:v>41</x:v>
      </x:c>
      <x:c r="D20" t="str">
        <x:f>_xlfn.XLOOKUP(TabelaAtivos[[#This Row],[Ambiente]],TabelaAmbientes[Ambiente],TabelaAmbientes[Zona],"",0,1)</x:f>
        <x:v>Serviço</x:v>
      </x:c>
      <x:c r="M20" s="2"/>
      <x:c r="N20" s="2" t="str">
        <x:f t="shared" si="0"/>
      </x:c>
      <x:c r="O20" t="str">
        <x:f t="shared" si="1"/>
      </x:c>
      <x:c r="P20" t="str">
        <x:f t="shared" si="2"/>
      </x:c>
      <x:c r="Q20" s="3"/>
      <x:c r="R20" s="3" t="str">
        <x:f t="shared" si="3"/>
      </x:c>
      <x:c r="U20" t="str">
        <x:f t="shared" si="4"/>
        <x:v>Sem data</x:v>
      </x:c>
      <x:c r="X20" s="2">
        <x:v>51482</x:v>
      </x:c>
      <x:c r="BE20" t="str"/>
    </x:row>
    <x:row r="21">
      <x:c r="B21" t="str">
        <x:f>_xlfn.XLOOKUP(TabelaAtivos[[#This Row],[Ambiente]],TabelaAmbientes[Ambiente],TabelaAmbientes[Cod_ambiente],"",0,1)</x:f>
      </x:c>
      <x:c r="D21" t="str">
        <x:f>_xlfn.XLOOKUP(TabelaAtivos[[#This Row],[Ambiente]],TabelaAmbientes[Ambiente],TabelaAmbientes[Zona],"",0,1)</x:f>
      </x:c>
      <x:c r="M21" s="2"/>
      <x:c r="N21" s="2" t="str">
        <x:f t="shared" si="0"/>
      </x:c>
      <x:c r="O21" t="str">
        <x:f t="shared" si="1"/>
      </x:c>
      <x:c r="P21" t="str">
        <x:f t="shared" si="2"/>
      </x:c>
      <x:c r="Q21" s="3"/>
      <x:c r="R21" s="3" t="str">
        <x:f t="shared" si="3"/>
      </x:c>
      <x:c r="U21" t="str">
        <x:f t="shared" si="4"/>
        <x:v>Sem data</x:v>
      </x:c>
      <x:c r="X21" s="2">
        <x:v>51482</x:v>
      </x:c>
      <x:c r="BE21" t="str"/>
    </x:row>
    <x:row r="22">
      <x:c r="B22" t="str">
        <x:f>_xlfn.XLOOKUP(TabelaAtivos[[#This Row],[Ambiente]],TabelaAmbientes[Ambiente],TabelaAmbientes[Cod_ambiente],"",0,1)</x:f>
      </x:c>
      <x:c r="D22" t="str">
        <x:f>_xlfn.XLOOKUP(TabelaAtivos[[#This Row],[Ambiente]],TabelaAmbientes[Ambiente],TabelaAmbientes[Zona],"",0,1)</x:f>
      </x:c>
      <x:c r="M22" s="2"/>
      <x:c r="N22" s="2" t="str">
        <x:f t="shared" si="0"/>
      </x:c>
      <x:c r="O22" t="str">
        <x:f t="shared" si="1"/>
      </x:c>
      <x:c r="P22" t="str">
        <x:f t="shared" si="2"/>
      </x:c>
      <x:c r="Q22" s="3"/>
      <x:c r="R22" s="3" t="str">
        <x:f t="shared" si="3"/>
      </x:c>
      <x:c r="U22" t="str">
        <x:f t="shared" si="4"/>
        <x:v>Sem data</x:v>
      </x:c>
      <x:c r="X22" s="2">
        <x:v>51482</x:v>
      </x:c>
      <x:c r="BE22" t="str"/>
    </x:row>
    <x:row r="23">
      <x:c r="B23" t="str">
        <x:f>_xlfn.XLOOKUP(TabelaAtivos[[#This Row],[Ambiente]],TabelaAmbientes[Ambiente],TabelaAmbientes[Cod_ambiente],"",0,1)</x:f>
      </x:c>
      <x:c r="D23" t="str">
        <x:f>_xlfn.XLOOKUP(TabelaAtivos[[#This Row],[Ambiente]],TabelaAmbientes[Ambiente],TabelaAmbientes[Zona],"",0,1)</x:f>
      </x:c>
      <x:c r="M23" s="2"/>
      <x:c r="N23" s="2" t="str">
        <x:f t="shared" si="0"/>
      </x:c>
      <x:c r="O23" t="str">
        <x:f t="shared" si="1"/>
      </x:c>
      <x:c r="P23" t="str">
        <x:f t="shared" si="2"/>
      </x:c>
      <x:c r="Q23" s="3"/>
      <x:c r="R23" s="3" t="str">
        <x:f t="shared" si="3"/>
      </x:c>
      <x:c r="U23" t="str">
        <x:f t="shared" si="4"/>
        <x:v>Sem data</x:v>
      </x:c>
      <x:c r="X23" s="2">
        <x:v>51482</x:v>
      </x:c>
      <x:c r="BE23" t="str"/>
    </x:row>
    <x:row r="24">
      <x:c r="B24" t="str">
        <x:f>_xlfn.XLOOKUP(TabelaAtivos[[#This Row],[Ambiente]],TabelaAmbientes[Ambiente],TabelaAmbientes[Cod_ambiente],"",0,1)</x:f>
      </x:c>
      <x:c r="D24" t="str">
        <x:f>_xlfn.XLOOKUP(TabelaAtivos[[#This Row],[Ambiente]],TabelaAmbientes[Ambiente],TabelaAmbientes[Zona],"",0,1)</x:f>
      </x:c>
      <x:c r="M24" s="2"/>
      <x:c r="N24" s="2" t="str">
        <x:f t="shared" si="0"/>
      </x:c>
      <x:c r="O24" t="str">
        <x:f t="shared" si="1"/>
      </x:c>
      <x:c r="P24" t="str">
        <x:f t="shared" si="2"/>
      </x:c>
      <x:c r="Q24" s="3"/>
      <x:c r="R24" s="3" t="str">
        <x:f t="shared" si="3"/>
      </x:c>
      <x:c r="U24" t="str">
        <x:f t="shared" si="4"/>
        <x:v>Sem data</x:v>
      </x:c>
      <x:c r="X24" s="2">
        <x:v>51482</x:v>
      </x:c>
      <x:c r="BE24" t="str"/>
    </x:row>
    <x:row r="25">
      <x:c r="B25" t="str">
        <x:f>_xlfn.XLOOKUP(TabelaAtivos[[#This Row],[Ambiente]],TabelaAmbientes[Ambiente],TabelaAmbientes[Cod_ambiente],"",0,1)</x:f>
      </x:c>
      <x:c r="D25" t="str">
        <x:f>_xlfn.XLOOKUP(TabelaAtivos[[#This Row],[Ambiente]],TabelaAmbientes[Ambiente],TabelaAmbientes[Zona],"",0,1)</x:f>
      </x:c>
      <x:c r="M25" s="2"/>
      <x:c r="N25" s="2" t="str">
        <x:f t="shared" si="0"/>
      </x:c>
      <x:c r="O25" t="str">
        <x:f t="shared" si="1"/>
      </x:c>
      <x:c r="P25" t="str">
        <x:f t="shared" si="2"/>
      </x:c>
      <x:c r="Q25" s="3"/>
      <x:c r="R25" s="3" t="str">
        <x:f t="shared" si="3"/>
      </x:c>
      <x:c r="U25" t="str">
        <x:f t="shared" si="4"/>
        <x:v>Sem data</x:v>
      </x:c>
      <x:c r="X25" s="2">
        <x:v>51482</x:v>
      </x:c>
      <x:c r="BE25" t="str"/>
    </x:row>
    <x:row r="26">
      <x:c r="B26" t="str">
        <x:f>_xlfn.XLOOKUP(TabelaAtivos[[#This Row],[Ambiente]],TabelaAmbientes[Ambiente],TabelaAmbientes[Cod_ambiente],"",0,1)</x:f>
      </x:c>
      <x:c r="D26" t="str">
        <x:f>_xlfn.XLOOKUP(TabelaAtivos[[#This Row],[Ambiente]],TabelaAmbientes[Ambiente],TabelaAmbientes[Zona],"",0,1)</x:f>
      </x:c>
      <x:c r="M26" s="2"/>
      <x:c r="N26" s="2" t="str">
        <x:f t="shared" si="0"/>
      </x:c>
      <x:c r="O26" t="str">
        <x:f t="shared" si="1"/>
      </x:c>
      <x:c r="P26" t="str">
        <x:f t="shared" si="2"/>
      </x:c>
      <x:c r="Q26" s="3"/>
      <x:c r="R26" s="3" t="str">
        <x:f t="shared" si="3"/>
      </x:c>
      <x:c r="U26" t="str">
        <x:f t="shared" si="4"/>
        <x:v>Sem data</x:v>
      </x:c>
      <x:c r="X26" s="2">
        <x:v>51482</x:v>
      </x:c>
      <x:c r="BE26" t="str"/>
    </x:row>
    <x:row r="27">
      <x:c r="B27" t="str">
        <x:f>_xlfn.XLOOKUP(TabelaAtivos[[#This Row],[Ambiente]],TabelaAmbientes[Ambiente],TabelaAmbientes[Cod_ambiente],"",0,1)</x:f>
      </x:c>
      <x:c r="D27" t="str">
        <x:f>_xlfn.XLOOKUP(TabelaAtivos[[#This Row],[Ambiente]],TabelaAmbientes[Ambiente],TabelaAmbientes[Zona],"",0,1)</x:f>
      </x:c>
      <x:c r="M27" s="2"/>
      <x:c r="N27" s="2" t="str">
        <x:f t="shared" si="0"/>
      </x:c>
      <x:c r="O27" t="str">
        <x:f t="shared" si="1"/>
      </x:c>
      <x:c r="P27" t="str">
        <x:f t="shared" si="2"/>
      </x:c>
      <x:c r="Q27" s="3"/>
      <x:c r="R27" s="3" t="str">
        <x:f t="shared" si="3"/>
      </x:c>
      <x:c r="U27" t="str">
        <x:f t="shared" si="4"/>
        <x:v>Sem data</x:v>
      </x:c>
      <x:c r="X27" s="2">
        <x:v>51482</x:v>
      </x:c>
      <x:c r="BE27" t="str"/>
    </x:row>
    <x:row r="28">
      <x:c r="B28" t="str">
        <x:f>_xlfn.XLOOKUP(TabelaAtivos[[#This Row],[Ambiente]],TabelaAmbientes[Ambiente],TabelaAmbientes[Cod_ambiente],"",0,1)</x:f>
      </x:c>
      <x:c r="D28" t="str">
        <x:f>_xlfn.XLOOKUP(TabelaAtivos[[#This Row],[Ambiente]],TabelaAmbientes[Ambiente],TabelaAmbientes[Zona],"",0,1)</x:f>
      </x:c>
      <x:c r="M28" s="2"/>
      <x:c r="N28" s="2" t="str">
        <x:f t="shared" si="0"/>
      </x:c>
      <x:c r="O28" t="str">
        <x:f t="shared" si="1"/>
      </x:c>
      <x:c r="P28" t="str">
        <x:f t="shared" si="2"/>
      </x:c>
      <x:c r="Q28" s="3"/>
      <x:c r="R28" s="3" t="str">
        <x:f t="shared" si="3"/>
      </x:c>
      <x:c r="U28" t="str">
        <x:f t="shared" si="4"/>
        <x:v>Sem data</x:v>
      </x:c>
      <x:c r="X28" s="2">
        <x:v>51482</x:v>
      </x:c>
      <x:c r="BE28" t="str"/>
    </x:row>
    <x:row r="29">
      <x:c r="B29" t="str">
        <x:f>_xlfn.XLOOKUP(TabelaAtivos[[#This Row],[Ambiente]],TabelaAmbientes[Ambiente],TabelaAmbientes[Cod_ambiente],"",0,1)</x:f>
      </x:c>
      <x:c r="D29" t="str">
        <x:f>_xlfn.XLOOKUP(TabelaAtivos[[#This Row],[Ambiente]],TabelaAmbientes[Ambiente],TabelaAmbientes[Zona],"",0,1)</x:f>
      </x:c>
      <x:c r="M29" s="2"/>
      <x:c r="N29" s="2" t="str">
        <x:f t="shared" si="0"/>
      </x:c>
      <x:c r="O29" t="str">
        <x:f t="shared" si="1"/>
      </x:c>
      <x:c r="P29" t="str">
        <x:f t="shared" si="2"/>
      </x:c>
      <x:c r="Q29" s="3"/>
      <x:c r="R29" s="3" t="str">
        <x:f t="shared" si="3"/>
      </x:c>
      <x:c r="U29" t="str">
        <x:f t="shared" si="4"/>
        <x:v>Sem data</x:v>
      </x:c>
      <x:c r="X29" s="2">
        <x:v>51482</x:v>
      </x:c>
      <x:c r="BE29" t="str"/>
    </x:row>
    <x:row r="30">
      <x:c r="B30" t="str">
        <x:f>_xlfn.XLOOKUP(TabelaAtivos[[#This Row],[Ambiente]],TabelaAmbientes[Ambiente],TabelaAmbientes[Cod_ambiente],"",0,1)</x:f>
      </x:c>
      <x:c r="D30" t="str">
        <x:f>_xlfn.XLOOKUP(TabelaAtivos[[#This Row],[Ambiente]],TabelaAmbientes[Ambiente],TabelaAmbientes[Zona],"",0,1)</x:f>
      </x:c>
      <x:c r="M30" s="2"/>
      <x:c r="N30" s="2" t="str">
        <x:f t="shared" si="0"/>
      </x:c>
      <x:c r="O30" t="str">
        <x:f t="shared" si="1"/>
      </x:c>
      <x:c r="P30" t="str">
        <x:f t="shared" si="2"/>
      </x:c>
      <x:c r="Q30" s="3"/>
      <x:c r="R30" s="3" t="str">
        <x:f t="shared" si="3"/>
      </x:c>
      <x:c r="U30" t="str">
        <x:f t="shared" si="4"/>
        <x:v>Sem data</x:v>
      </x:c>
      <x:c r="X30" s="2">
        <x:v>51482</x:v>
      </x:c>
      <x:c r="BE30" t="str"/>
    </x:row>
    <x:row r="31">
      <x:c r="B31" t="str">
        <x:f>_xlfn.XLOOKUP(TabelaAtivos[[#This Row],[Ambiente]],TabelaAmbientes[Ambiente],TabelaAmbientes[Cod_ambiente],"",0,1)</x:f>
      </x:c>
      <x:c r="D31" t="str">
        <x:f>_xlfn.XLOOKUP(TabelaAtivos[[#This Row],[Ambiente]],TabelaAmbientes[Ambiente],TabelaAmbientes[Zona],"",0,1)</x:f>
      </x:c>
      <x:c r="M31" s="2"/>
      <x:c r="N31" s="2" t="str">
        <x:f t="shared" si="0"/>
      </x:c>
      <x:c r="O31" t="str">
        <x:f t="shared" si="1"/>
      </x:c>
      <x:c r="P31" t="str">
        <x:f t="shared" si="2"/>
      </x:c>
      <x:c r="Q31" s="3"/>
      <x:c r="R31" s="3" t="str">
        <x:f t="shared" si="3"/>
      </x:c>
      <x:c r="U31" t="str">
        <x:f t="shared" si="4"/>
        <x:v>Sem data</x:v>
      </x:c>
      <x:c r="X31" s="2">
        <x:v>51482</x:v>
      </x:c>
      <x:c r="BE31" t="str"/>
    </x:row>
    <x:row r="32">
      <x:c r="B32" t="str">
        <x:f>_xlfn.XLOOKUP(TabelaAtivos[[#This Row],[Ambiente]],TabelaAmbientes[Ambiente],TabelaAmbientes[Cod_ambiente],"",0,1)</x:f>
      </x:c>
      <x:c r="D32" t="str">
        <x:f>_xlfn.XLOOKUP(TabelaAtivos[[#This Row],[Ambiente]],TabelaAmbientes[Ambiente],TabelaAmbientes[Zona],"",0,1)</x:f>
      </x:c>
      <x:c r="M32" s="2"/>
      <x:c r="N32" s="2" t="str">
        <x:f t="shared" si="0"/>
      </x:c>
      <x:c r="O32" t="str">
        <x:f t="shared" si="1"/>
      </x:c>
      <x:c r="P32" t="str">
        <x:f t="shared" si="2"/>
      </x:c>
      <x:c r="Q32" s="3"/>
      <x:c r="R32" s="3" t="str">
        <x:f t="shared" si="3"/>
      </x:c>
      <x:c r="U32" t="str">
        <x:f t="shared" si="4"/>
        <x:v>Sem data</x:v>
      </x:c>
      <x:c r="X32" s="2">
        <x:v>51482</x:v>
      </x:c>
      <x:c r="BE32" t="str"/>
    </x:row>
    <x:row r="33">
      <x:c r="B33" t="str">
        <x:f>_xlfn.XLOOKUP(TabelaAtivos[[#This Row],[Ambiente]],TabelaAmbientes[Ambiente],TabelaAmbientes[Cod_ambiente],"",0,1)</x:f>
      </x:c>
      <x:c r="D33" t="str">
        <x:f>_xlfn.XLOOKUP(TabelaAtivos[[#This Row],[Ambiente]],TabelaAmbientes[Ambiente],TabelaAmbientes[Zona],"",0,1)</x:f>
      </x:c>
      <x:c r="M33" s="2"/>
      <x:c r="N33" s="2" t="str">
        <x:f t="shared" si="0"/>
      </x:c>
      <x:c r="O33" t="str">
        <x:f t="shared" si="1"/>
      </x:c>
      <x:c r="P33" t="str">
        <x:f t="shared" si="2"/>
      </x:c>
      <x:c r="Q33" s="3"/>
      <x:c r="R33" s="3" t="str">
        <x:f t="shared" si="3"/>
      </x:c>
      <x:c r="U33" t="str">
        <x:f t="shared" si="4"/>
        <x:v>Sem data</x:v>
      </x:c>
      <x:c r="X33" s="2">
        <x:v>51482</x:v>
      </x:c>
      <x:c r="BE33" t="str"/>
    </x:row>
    <x:row r="34">
      <x:c r="B34" t="str">
        <x:f>_xlfn.XLOOKUP(TabelaAtivos[[#This Row],[Ambiente]],TabelaAmbientes[Ambiente],TabelaAmbientes[Cod_ambiente],"",0,1)</x:f>
      </x:c>
      <x:c r="D34" t="str">
        <x:f>_xlfn.XLOOKUP(TabelaAtivos[[#This Row],[Ambiente]],TabelaAmbientes[Ambiente],TabelaAmbientes[Zona],"",0,1)</x:f>
      </x:c>
      <x:c r="M34" s="2"/>
      <x:c r="N34" s="2" t="str">
        <x:f t="shared" ref="N34:N65" si="5">IF(M34="","",EDATE(M34,L34))</x:f>
      </x:c>
      <x:c r="O34" t="str">
        <x:f t="shared" ref="O34:O65" si="6">IF(N34="","",YEAR(N34))</x:f>
      </x:c>
      <x:c r="P34" t="str">
        <x:f t="shared" ref="P34:P65" si="7">IF(N34="","",TEXT(N34,"mmm"))</x:f>
      </x:c>
      <x:c r="Q34" s="3"/>
      <x:c r="R34" s="3" t="str">
        <x:f t="shared" ref="R34:R65" si="8">IF(OR(J34="",Q34=""),"",J34*Q34)</x:f>
      </x:c>
      <x:c r="U34" t="str">
        <x:f t="shared" ref="U34:U65" si="9">IF(N34="","Sem data",IF(N34&lt;TODAY(),"Vencido",IF(N34&lt;=TODAY()+30,"Próx. 30 dias",IF(N34&lt;=TODAY()+90,"Próx. 90 dias","Programado"))))</x:f>
        <x:v>Sem data</x:v>
      </x:c>
      <x:c r="X34" s="2">
        <x:v>51482</x:v>
      </x:c>
      <x:c r="BE34" t="str"/>
    </x:row>
    <x:row r="35">
      <x:c r="B35" t="str">
        <x:f>_xlfn.XLOOKUP(TabelaAtivos[[#This Row],[Ambiente]],TabelaAmbientes[Ambiente],TabelaAmbientes[Cod_ambiente],"",0,1)</x:f>
      </x:c>
      <x:c r="D35" t="str">
        <x:f>_xlfn.XLOOKUP(TabelaAtivos[[#This Row],[Ambiente]],TabelaAmbientes[Ambiente],TabelaAmbientes[Zona],"",0,1)</x:f>
      </x:c>
      <x:c r="M35" s="2"/>
      <x:c r="N35" s="2" t="str">
        <x:f t="shared" si="5"/>
      </x:c>
      <x:c r="O35" t="str">
        <x:f t="shared" si="6"/>
      </x:c>
      <x:c r="P35" t="str">
        <x:f t="shared" si="7"/>
      </x:c>
      <x:c r="Q35" s="3"/>
      <x:c r="R35" s="3" t="str">
        <x:f t="shared" si="8"/>
      </x:c>
      <x:c r="U35" t="str">
        <x:f t="shared" si="9"/>
        <x:v>Sem data</x:v>
      </x:c>
      <x:c r="X35" s="2">
        <x:v>51482</x:v>
      </x:c>
      <x:c r="BE35" t="str"/>
    </x:row>
    <x:row r="36">
      <x:c r="B36" t="str">
        <x:f>_xlfn.XLOOKUP(TabelaAtivos[[#This Row],[Ambiente]],TabelaAmbientes[Ambiente],TabelaAmbientes[Cod_ambiente],"",0,1)</x:f>
      </x:c>
      <x:c r="D36" t="str">
        <x:f>_xlfn.XLOOKUP(TabelaAtivos[[#This Row],[Ambiente]],TabelaAmbientes[Ambiente],TabelaAmbientes[Zona],"",0,1)</x:f>
      </x:c>
      <x:c r="M36" s="2"/>
      <x:c r="N36" s="2" t="str">
        <x:f t="shared" si="5"/>
      </x:c>
      <x:c r="O36" t="str">
        <x:f t="shared" si="6"/>
      </x:c>
      <x:c r="P36" t="str">
        <x:f t="shared" si="7"/>
      </x:c>
      <x:c r="Q36" s="3"/>
      <x:c r="R36" s="3" t="str">
        <x:f t="shared" si="8"/>
      </x:c>
      <x:c r="U36" t="str">
        <x:f t="shared" si="9"/>
        <x:v>Sem data</x:v>
      </x:c>
      <x:c r="X36" s="2">
        <x:v>51482</x:v>
      </x:c>
      <x:c r="BE36" t="str"/>
    </x:row>
    <x:row r="37">
      <x:c r="B37" t="str">
        <x:f>_xlfn.XLOOKUP(TabelaAtivos[[#This Row],[Ambiente]],TabelaAmbientes[Ambiente],TabelaAmbientes[Cod_ambiente],"",0,1)</x:f>
      </x:c>
      <x:c r="D37" t="str">
        <x:f>_xlfn.XLOOKUP(TabelaAtivos[[#This Row],[Ambiente]],TabelaAmbientes[Ambiente],TabelaAmbientes[Zona],"",0,1)</x:f>
      </x:c>
      <x:c r="M37" s="2"/>
      <x:c r="N37" s="2" t="str">
        <x:f t="shared" si="5"/>
      </x:c>
      <x:c r="O37" t="str">
        <x:f t="shared" si="6"/>
      </x:c>
      <x:c r="P37" t="str">
        <x:f t="shared" si="7"/>
      </x:c>
      <x:c r="Q37" s="3"/>
      <x:c r="R37" s="3" t="str">
        <x:f t="shared" si="8"/>
      </x:c>
      <x:c r="U37" t="str">
        <x:f t="shared" si="9"/>
        <x:v>Sem data</x:v>
      </x:c>
      <x:c r="X37" s="2">
        <x:v>51482</x:v>
      </x:c>
      <x:c r="BE37" t="str"/>
    </x:row>
    <x:row r="38">
      <x:c r="B38" t="str">
        <x:f>_xlfn.XLOOKUP(TabelaAtivos[[#This Row],[Ambiente]],TabelaAmbientes[Ambiente],TabelaAmbientes[Cod_ambiente],"",0,1)</x:f>
      </x:c>
      <x:c r="D38" t="str">
        <x:f>_xlfn.XLOOKUP(TabelaAtivos[[#This Row],[Ambiente]],TabelaAmbientes[Ambiente],TabelaAmbientes[Zona],"",0,1)</x:f>
      </x:c>
      <x:c r="M38" s="2"/>
      <x:c r="N38" s="2" t="str">
        <x:f t="shared" si="5"/>
      </x:c>
      <x:c r="O38" t="str">
        <x:f t="shared" si="6"/>
      </x:c>
      <x:c r="P38" t="str">
        <x:f t="shared" si="7"/>
      </x:c>
      <x:c r="Q38" s="3"/>
      <x:c r="R38" s="3" t="str">
        <x:f t="shared" si="8"/>
      </x:c>
      <x:c r="U38" t="str">
        <x:f t="shared" si="9"/>
        <x:v>Sem data</x:v>
      </x:c>
      <x:c r="X38" s="2">
        <x:v>51482</x:v>
      </x:c>
      <x:c r="BE38" t="str"/>
    </x:row>
    <x:row r="39">
      <x:c r="B39" t="str">
        <x:f>_xlfn.XLOOKUP(TabelaAtivos[[#This Row],[Ambiente]],TabelaAmbientes[Ambiente],TabelaAmbientes[Cod_ambiente],"",0,1)</x:f>
      </x:c>
      <x:c r="D39" t="str">
        <x:f>_xlfn.XLOOKUP(TabelaAtivos[[#This Row],[Ambiente]],TabelaAmbientes[Ambiente],TabelaAmbientes[Zona],"",0,1)</x:f>
      </x:c>
      <x:c r="M39" s="2"/>
      <x:c r="N39" s="2" t="str">
        <x:f t="shared" si="5"/>
      </x:c>
      <x:c r="O39" t="str">
        <x:f t="shared" si="6"/>
      </x:c>
      <x:c r="P39" t="str">
        <x:f t="shared" si="7"/>
      </x:c>
      <x:c r="Q39" s="3"/>
      <x:c r="R39" s="3" t="str">
        <x:f t="shared" si="8"/>
      </x:c>
      <x:c r="U39" t="str">
        <x:f t="shared" si="9"/>
        <x:v>Sem data</x:v>
      </x:c>
      <x:c r="X39" s="2">
        <x:v>51482</x:v>
      </x:c>
      <x:c r="BE39" t="str"/>
    </x:row>
    <x:row r="40">
      <x:c r="B40" t="str">
        <x:f>_xlfn.XLOOKUP(TabelaAtivos[[#This Row],[Ambiente]],TabelaAmbientes[Ambiente],TabelaAmbientes[Cod_ambiente],"",0,1)</x:f>
      </x:c>
      <x:c r="D40" t="str">
        <x:f>_xlfn.XLOOKUP(TabelaAtivos[[#This Row],[Ambiente]],TabelaAmbientes[Ambiente],TabelaAmbientes[Zona],"",0,1)</x:f>
      </x:c>
      <x:c r="M40" s="2"/>
      <x:c r="N40" s="2" t="str">
        <x:f t="shared" si="5"/>
      </x:c>
      <x:c r="O40" t="str">
        <x:f t="shared" si="6"/>
      </x:c>
      <x:c r="P40" t="str">
        <x:f t="shared" si="7"/>
      </x:c>
      <x:c r="Q40" s="3"/>
      <x:c r="R40" s="3" t="str">
        <x:f t="shared" si="8"/>
      </x:c>
      <x:c r="U40" t="str">
        <x:f t="shared" si="9"/>
        <x:v>Sem data</x:v>
      </x:c>
      <x:c r="X40" s="2">
        <x:v>51482</x:v>
      </x:c>
      <x:c r="BE40" t="str"/>
    </x:row>
    <x:row r="41">
      <x:c r="B41" t="str">
        <x:f>_xlfn.XLOOKUP(TabelaAtivos[[#This Row],[Ambiente]],TabelaAmbientes[Ambiente],TabelaAmbientes[Cod_ambiente],"",0,1)</x:f>
      </x:c>
      <x:c r="D41" t="str">
        <x:f>_xlfn.XLOOKUP(TabelaAtivos[[#This Row],[Ambiente]],TabelaAmbientes[Ambiente],TabelaAmbientes[Zona],"",0,1)</x:f>
      </x:c>
      <x:c r="M41" s="2"/>
      <x:c r="N41" s="2" t="str">
        <x:f t="shared" si="5"/>
      </x:c>
      <x:c r="O41" t="str">
        <x:f t="shared" si="6"/>
      </x:c>
      <x:c r="P41" t="str">
        <x:f t="shared" si="7"/>
      </x:c>
      <x:c r="Q41" s="3"/>
      <x:c r="R41" s="3" t="str">
        <x:f t="shared" si="8"/>
      </x:c>
      <x:c r="U41" t="str">
        <x:f t="shared" si="9"/>
        <x:v>Sem data</x:v>
      </x:c>
      <x:c r="X41" s="2">
        <x:v>51482</x:v>
      </x:c>
      <x:c r="BE41" t="str"/>
    </x:row>
    <x:row r="42">
      <x:c r="B42" t="str">
        <x:f>_xlfn.XLOOKUP(TabelaAtivos[[#This Row],[Ambiente]],TabelaAmbientes[Ambiente],TabelaAmbientes[Cod_ambiente],"",0,1)</x:f>
      </x:c>
      <x:c r="D42" t="str">
        <x:f>_xlfn.XLOOKUP(TabelaAtivos[[#This Row],[Ambiente]],TabelaAmbientes[Ambiente],TabelaAmbientes[Zona],"",0,1)</x:f>
      </x:c>
      <x:c r="M42" s="2"/>
      <x:c r="N42" s="2" t="str">
        <x:f t="shared" si="5"/>
      </x:c>
      <x:c r="O42" t="str">
        <x:f t="shared" si="6"/>
      </x:c>
      <x:c r="P42" t="str">
        <x:f t="shared" si="7"/>
      </x:c>
      <x:c r="Q42" s="3"/>
      <x:c r="R42" s="3" t="str">
        <x:f t="shared" si="8"/>
      </x:c>
      <x:c r="U42" t="str">
        <x:f t="shared" si="9"/>
        <x:v>Sem data</x:v>
      </x:c>
      <x:c r="X42" s="2">
        <x:v>51482</x:v>
      </x:c>
      <x:c r="BE42" t="str"/>
    </x:row>
    <x:row r="43">
      <x:c r="B43" t="str">
        <x:f>_xlfn.XLOOKUP(TabelaAtivos[[#This Row],[Ambiente]],TabelaAmbientes[Ambiente],TabelaAmbientes[Cod_ambiente],"",0,1)</x:f>
      </x:c>
      <x:c r="D43" t="str">
        <x:f>_xlfn.XLOOKUP(TabelaAtivos[[#This Row],[Ambiente]],TabelaAmbientes[Ambiente],TabelaAmbientes[Zona],"",0,1)</x:f>
      </x:c>
      <x:c r="M43" s="2"/>
      <x:c r="N43" s="2" t="str">
        <x:f t="shared" si="5"/>
      </x:c>
      <x:c r="O43" t="str">
        <x:f t="shared" si="6"/>
      </x:c>
      <x:c r="P43" t="str">
        <x:f t="shared" si="7"/>
      </x:c>
      <x:c r="Q43" s="3"/>
      <x:c r="R43" s="3" t="str">
        <x:f t="shared" si="8"/>
      </x:c>
      <x:c r="U43" t="str">
        <x:f t="shared" si="9"/>
        <x:v>Sem data</x:v>
      </x:c>
      <x:c r="X43" s="2">
        <x:v>51482</x:v>
      </x:c>
      <x:c r="BE43" t="str"/>
    </x:row>
    <x:row r="44">
      <x:c r="B44" t="str">
        <x:f>_xlfn.XLOOKUP(TabelaAtivos[[#This Row],[Ambiente]],TabelaAmbientes[Ambiente],TabelaAmbientes[Cod_ambiente],"",0,1)</x:f>
      </x:c>
      <x:c r="D44" t="str">
        <x:f>_xlfn.XLOOKUP(TabelaAtivos[[#This Row],[Ambiente]],TabelaAmbientes[Ambiente],TabelaAmbientes[Zona],"",0,1)</x:f>
      </x:c>
      <x:c r="M44" s="2"/>
      <x:c r="N44" s="2" t="str">
        <x:f t="shared" si="5"/>
      </x:c>
      <x:c r="O44" t="str">
        <x:f t="shared" si="6"/>
      </x:c>
      <x:c r="P44" t="str">
        <x:f t="shared" si="7"/>
      </x:c>
      <x:c r="Q44" s="3"/>
      <x:c r="R44" s="3" t="str">
        <x:f t="shared" si="8"/>
      </x:c>
      <x:c r="U44" t="str">
        <x:f t="shared" si="9"/>
        <x:v>Sem data</x:v>
      </x:c>
      <x:c r="X44" s="2">
        <x:v>51482</x:v>
      </x:c>
      <x:c r="BE44" t="str"/>
    </x:row>
    <x:row r="45">
      <x:c r="B45" t="str">
        <x:f>_xlfn.XLOOKUP(TabelaAtivos[[#This Row],[Ambiente]],TabelaAmbientes[Ambiente],TabelaAmbientes[Cod_ambiente],"",0,1)</x:f>
      </x:c>
      <x:c r="D45" t="str">
        <x:f>_xlfn.XLOOKUP(TabelaAtivos[[#This Row],[Ambiente]],TabelaAmbientes[Ambiente],TabelaAmbientes[Zona],"",0,1)</x:f>
      </x:c>
      <x:c r="M45" s="2"/>
      <x:c r="N45" s="2" t="str">
        <x:f t="shared" si="5"/>
      </x:c>
      <x:c r="O45" t="str">
        <x:f t="shared" si="6"/>
      </x:c>
      <x:c r="P45" t="str">
        <x:f t="shared" si="7"/>
      </x:c>
      <x:c r="Q45" s="3"/>
      <x:c r="R45" s="3" t="str">
        <x:f t="shared" si="8"/>
      </x:c>
      <x:c r="U45" t="str">
        <x:f t="shared" si="9"/>
        <x:v>Sem data</x:v>
      </x:c>
      <x:c r="X45" s="2">
        <x:v>51482</x:v>
      </x:c>
      <x:c r="BE45" t="str"/>
    </x:row>
    <x:row r="46">
      <x:c r="B46" t="str">
        <x:f>_xlfn.XLOOKUP(TabelaAtivos[[#This Row],[Ambiente]],TabelaAmbientes[Ambiente],TabelaAmbientes[Cod_ambiente],"",0,1)</x:f>
      </x:c>
      <x:c r="D46" t="str">
        <x:f>_xlfn.XLOOKUP(TabelaAtivos[[#This Row],[Ambiente]],TabelaAmbientes[Ambiente],TabelaAmbientes[Zona],"",0,1)</x:f>
      </x:c>
      <x:c r="M46" s="2"/>
      <x:c r="N46" s="2" t="str">
        <x:f t="shared" si="5"/>
      </x:c>
      <x:c r="O46" t="str">
        <x:f t="shared" si="6"/>
      </x:c>
      <x:c r="P46" t="str">
        <x:f t="shared" si="7"/>
      </x:c>
      <x:c r="Q46" s="3"/>
      <x:c r="R46" s="3" t="str">
        <x:f t="shared" si="8"/>
      </x:c>
      <x:c r="U46" t="str">
        <x:f t="shared" si="9"/>
        <x:v>Sem data</x:v>
      </x:c>
      <x:c r="X46" s="2">
        <x:v>51482</x:v>
      </x:c>
      <x:c r="BE46" t="str"/>
    </x:row>
    <x:row r="47">
      <x:c r="B47" t="str">
        <x:f>_xlfn.XLOOKUP(TabelaAtivos[[#This Row],[Ambiente]],TabelaAmbientes[Ambiente],TabelaAmbientes[Cod_ambiente],"",0,1)</x:f>
      </x:c>
      <x:c r="D47" t="str">
        <x:f>_xlfn.XLOOKUP(TabelaAtivos[[#This Row],[Ambiente]],TabelaAmbientes[Ambiente],TabelaAmbientes[Zona],"",0,1)</x:f>
      </x:c>
      <x:c r="M47" s="2"/>
      <x:c r="N47" s="2" t="str">
        <x:f t="shared" si="5"/>
      </x:c>
      <x:c r="O47" t="str">
        <x:f t="shared" si="6"/>
      </x:c>
      <x:c r="P47" t="str">
        <x:f t="shared" si="7"/>
      </x:c>
      <x:c r="Q47" s="3"/>
      <x:c r="R47" s="3" t="str">
        <x:f t="shared" si="8"/>
      </x:c>
      <x:c r="U47" t="str">
        <x:f t="shared" si="9"/>
        <x:v>Sem data</x:v>
      </x:c>
      <x:c r="X47" s="2">
        <x:v>51482</x:v>
      </x:c>
      <x:c r="BE47" t="str"/>
    </x:row>
    <x:row r="48">
      <x:c r="B48" t="str">
        <x:f>_xlfn.XLOOKUP(TabelaAtivos[[#This Row],[Ambiente]],TabelaAmbientes[Ambiente],TabelaAmbientes[Cod_ambiente],"",0,1)</x:f>
      </x:c>
      <x:c r="D48" t="str">
        <x:f>_xlfn.XLOOKUP(TabelaAtivos[[#This Row],[Ambiente]],TabelaAmbientes[Ambiente],TabelaAmbientes[Zona],"",0,1)</x:f>
      </x:c>
      <x:c r="M48" s="2"/>
      <x:c r="N48" s="2" t="str">
        <x:f t="shared" si="5"/>
      </x:c>
      <x:c r="O48" t="str">
        <x:f t="shared" si="6"/>
      </x:c>
      <x:c r="P48" t="str">
        <x:f t="shared" si="7"/>
      </x:c>
      <x:c r="Q48" s="3"/>
      <x:c r="R48" s="3" t="str">
        <x:f t="shared" si="8"/>
      </x:c>
      <x:c r="U48" t="str">
        <x:f t="shared" si="9"/>
        <x:v>Sem data</x:v>
      </x:c>
      <x:c r="X48" s="2">
        <x:v>51482</x:v>
      </x:c>
      <x:c r="BE48" t="str"/>
    </x:row>
    <x:row r="49">
      <x:c r="B49" t="str">
        <x:f>_xlfn.XLOOKUP(TabelaAtivos[[#This Row],[Ambiente]],TabelaAmbientes[Ambiente],TabelaAmbientes[Cod_ambiente],"",0,1)</x:f>
      </x:c>
      <x:c r="D49" t="str">
        <x:f>_xlfn.XLOOKUP(TabelaAtivos[[#This Row],[Ambiente]],TabelaAmbientes[Ambiente],TabelaAmbientes[Zona],"",0,1)</x:f>
      </x:c>
      <x:c r="M49" s="2"/>
      <x:c r="N49" s="2" t="str">
        <x:f t="shared" si="5"/>
      </x:c>
      <x:c r="O49" t="str">
        <x:f t="shared" si="6"/>
      </x:c>
      <x:c r="P49" t="str">
        <x:f t="shared" si="7"/>
      </x:c>
      <x:c r="Q49" s="3"/>
      <x:c r="R49" s="3" t="str">
        <x:f t="shared" si="8"/>
      </x:c>
      <x:c r="U49" t="str">
        <x:f t="shared" si="9"/>
        <x:v>Sem data</x:v>
      </x:c>
      <x:c r="X49" s="2">
        <x:v>51482</x:v>
      </x:c>
      <x:c r="BE49" t="str"/>
    </x:row>
    <x:row r="50">
      <x:c r="B50" t="str">
        <x:f>_xlfn.XLOOKUP(TabelaAtivos[[#This Row],[Ambiente]],TabelaAmbientes[Ambiente],TabelaAmbientes[Cod_ambiente],"",0,1)</x:f>
      </x:c>
      <x:c r="D50" t="str">
        <x:f>_xlfn.XLOOKUP(TabelaAtivos[[#This Row],[Ambiente]],TabelaAmbientes[Ambiente],TabelaAmbientes[Zona],"",0,1)</x:f>
      </x:c>
      <x:c r="M50" s="2"/>
      <x:c r="N50" s="2" t="str">
        <x:f t="shared" si="5"/>
      </x:c>
      <x:c r="O50" t="str">
        <x:f t="shared" si="6"/>
      </x:c>
      <x:c r="P50" t="str">
        <x:f t="shared" si="7"/>
      </x:c>
      <x:c r="Q50" s="3"/>
      <x:c r="R50" s="3" t="str">
        <x:f t="shared" si="8"/>
      </x:c>
      <x:c r="U50" t="str">
        <x:f t="shared" si="9"/>
        <x:v>Sem data</x:v>
      </x:c>
      <x:c r="X50" s="2">
        <x:v>51482</x:v>
      </x:c>
      <x:c r="BE50" t="str"/>
    </x:row>
    <x:row r="51">
      <x:c r="B51" t="str">
        <x:f>_xlfn.XLOOKUP(TabelaAtivos[[#This Row],[Ambiente]],TabelaAmbientes[Ambiente],TabelaAmbientes[Cod_ambiente],"",0,1)</x:f>
      </x:c>
      <x:c r="D51" t="str">
        <x:f>_xlfn.XLOOKUP(TabelaAtivos[[#This Row],[Ambiente]],TabelaAmbientes[Ambiente],TabelaAmbientes[Zona],"",0,1)</x:f>
      </x:c>
      <x:c r="M51" s="2"/>
      <x:c r="N51" s="2" t="str">
        <x:f t="shared" si="5"/>
      </x:c>
      <x:c r="O51" t="str">
        <x:f t="shared" si="6"/>
      </x:c>
      <x:c r="P51" t="str">
        <x:f t="shared" si="7"/>
      </x:c>
      <x:c r="Q51" s="3"/>
      <x:c r="R51" s="3" t="str">
        <x:f t="shared" si="8"/>
      </x:c>
      <x:c r="U51" t="str">
        <x:f t="shared" si="9"/>
        <x:v>Sem data</x:v>
      </x:c>
      <x:c r="X51" s="2">
        <x:v>51482</x:v>
      </x:c>
      <x:c r="BE51" t="str"/>
    </x:row>
    <x:row r="52">
      <x:c r="B52" t="str">
        <x:f>_xlfn.XLOOKUP(TabelaAtivos[[#This Row],[Ambiente]],TabelaAmbientes[Ambiente],TabelaAmbientes[Cod_ambiente],"",0,1)</x:f>
      </x:c>
      <x:c r="D52" t="str">
        <x:f>_xlfn.XLOOKUP(TabelaAtivos[[#This Row],[Ambiente]],TabelaAmbientes[Ambiente],TabelaAmbientes[Zona],"",0,1)</x:f>
      </x:c>
      <x:c r="M52" s="2"/>
      <x:c r="N52" s="2" t="str">
        <x:f t="shared" si="5"/>
      </x:c>
      <x:c r="O52" t="str">
        <x:f t="shared" si="6"/>
      </x:c>
      <x:c r="P52" t="str">
        <x:f t="shared" si="7"/>
      </x:c>
      <x:c r="Q52" s="3"/>
      <x:c r="R52" s="3" t="str">
        <x:f t="shared" si="8"/>
      </x:c>
      <x:c r="U52" t="str">
        <x:f t="shared" si="9"/>
        <x:v>Sem data</x:v>
      </x:c>
      <x:c r="X52" s="2">
        <x:v>51482</x:v>
      </x:c>
      <x:c r="BE52" t="str"/>
    </x:row>
    <x:row r="53">
      <x:c r="B53" t="str">
        <x:f>_xlfn.XLOOKUP(TabelaAtivos[[#This Row],[Ambiente]],TabelaAmbientes[Ambiente],TabelaAmbientes[Cod_ambiente],"",0,1)</x:f>
      </x:c>
      <x:c r="D53" t="str">
        <x:f>_xlfn.XLOOKUP(TabelaAtivos[[#This Row],[Ambiente]],TabelaAmbientes[Ambiente],TabelaAmbientes[Zona],"",0,1)</x:f>
      </x:c>
      <x:c r="M53" s="2"/>
      <x:c r="N53" s="2" t="str">
        <x:f t="shared" si="5"/>
      </x:c>
      <x:c r="O53" t="str">
        <x:f t="shared" si="6"/>
      </x:c>
      <x:c r="P53" t="str">
        <x:f t="shared" si="7"/>
      </x:c>
      <x:c r="Q53" s="3"/>
      <x:c r="R53" s="3" t="str">
        <x:f t="shared" si="8"/>
      </x:c>
      <x:c r="U53" t="str">
        <x:f t="shared" si="9"/>
        <x:v>Sem data</x:v>
      </x:c>
      <x:c r="X53" s="2">
        <x:v>51482</x:v>
      </x:c>
      <x:c r="BE53" t="str"/>
    </x:row>
    <x:row r="54">
      <x:c r="B54" t="str">
        <x:f>_xlfn.XLOOKUP(TabelaAtivos[[#This Row],[Ambiente]],TabelaAmbientes[Ambiente],TabelaAmbientes[Cod_ambiente],"",0,1)</x:f>
      </x:c>
      <x:c r="D54" t="str">
        <x:f>_xlfn.XLOOKUP(TabelaAtivos[[#This Row],[Ambiente]],TabelaAmbientes[Ambiente],TabelaAmbientes[Zona],"",0,1)</x:f>
      </x:c>
      <x:c r="M54" s="2"/>
      <x:c r="N54" s="2" t="str">
        <x:f t="shared" si="5"/>
      </x:c>
      <x:c r="O54" t="str">
        <x:f t="shared" si="6"/>
      </x:c>
      <x:c r="P54" t="str">
        <x:f t="shared" si="7"/>
      </x:c>
      <x:c r="Q54" s="3"/>
      <x:c r="R54" s="3" t="str">
        <x:f t="shared" si="8"/>
      </x:c>
      <x:c r="U54" t="str">
        <x:f t="shared" si="9"/>
        <x:v>Sem data</x:v>
      </x:c>
      <x:c r="X54" s="2">
        <x:v>51482</x:v>
      </x:c>
      <x:c r="BE54" t="str"/>
    </x:row>
    <x:row r="55">
      <x:c r="B55" t="str">
        <x:f>_xlfn.XLOOKUP(TabelaAtivos[[#This Row],[Ambiente]],TabelaAmbientes[Ambiente],TabelaAmbientes[Cod_ambiente],"",0,1)</x:f>
      </x:c>
      <x:c r="D55" t="str">
        <x:f>_xlfn.XLOOKUP(TabelaAtivos[[#This Row],[Ambiente]],TabelaAmbientes[Ambiente],TabelaAmbientes[Zona],"",0,1)</x:f>
      </x:c>
      <x:c r="M55" s="2"/>
      <x:c r="N55" s="2" t="str">
        <x:f t="shared" si="5"/>
      </x:c>
      <x:c r="O55" t="str">
        <x:f t="shared" si="6"/>
      </x:c>
      <x:c r="P55" t="str">
        <x:f t="shared" si="7"/>
      </x:c>
      <x:c r="Q55" s="3"/>
      <x:c r="R55" s="3" t="str">
        <x:f t="shared" si="8"/>
      </x:c>
      <x:c r="U55" t="str">
        <x:f t="shared" si="9"/>
        <x:v>Sem data</x:v>
      </x:c>
      <x:c r="X55" s="2">
        <x:v>51482</x:v>
      </x:c>
      <x:c r="BE55" t="str"/>
    </x:row>
    <x:row r="56">
      <x:c r="B56" t="str">
        <x:f>_xlfn.XLOOKUP(TabelaAtivos[[#This Row],[Ambiente]],TabelaAmbientes[Ambiente],TabelaAmbientes[Cod_ambiente],"",0,1)</x:f>
      </x:c>
      <x:c r="D56" t="str">
        <x:f>_xlfn.XLOOKUP(TabelaAtivos[[#This Row],[Ambiente]],TabelaAmbientes[Ambiente],TabelaAmbientes[Zona],"",0,1)</x:f>
      </x:c>
      <x:c r="M56" s="2"/>
      <x:c r="N56" s="2" t="str">
        <x:f t="shared" si="5"/>
      </x:c>
      <x:c r="O56" t="str">
        <x:f t="shared" si="6"/>
      </x:c>
      <x:c r="P56" t="str">
        <x:f t="shared" si="7"/>
      </x:c>
      <x:c r="Q56" s="3"/>
      <x:c r="R56" s="3" t="str">
        <x:f t="shared" si="8"/>
      </x:c>
      <x:c r="U56" t="str">
        <x:f t="shared" si="9"/>
        <x:v>Sem data</x:v>
      </x:c>
      <x:c r="X56" s="2">
        <x:v>51482</x:v>
      </x:c>
      <x:c r="BE56" t="str"/>
    </x:row>
    <x:row r="57">
      <x:c r="B57" t="str">
        <x:f>_xlfn.XLOOKUP(TabelaAtivos[[#This Row],[Ambiente]],TabelaAmbientes[Ambiente],TabelaAmbientes[Cod_ambiente],"",0,1)</x:f>
      </x:c>
      <x:c r="D57" t="str">
        <x:f>_xlfn.XLOOKUP(TabelaAtivos[[#This Row],[Ambiente]],TabelaAmbientes[Ambiente],TabelaAmbientes[Zona],"",0,1)</x:f>
      </x:c>
      <x:c r="M57" s="2"/>
      <x:c r="N57" s="2" t="str">
        <x:f t="shared" si="5"/>
      </x:c>
      <x:c r="O57" t="str">
        <x:f t="shared" si="6"/>
      </x:c>
      <x:c r="P57" t="str">
        <x:f t="shared" si="7"/>
      </x:c>
      <x:c r="Q57" s="3"/>
      <x:c r="R57" s="3" t="str">
        <x:f t="shared" si="8"/>
      </x:c>
      <x:c r="U57" t="str">
        <x:f t="shared" si="9"/>
        <x:v>Sem data</x:v>
      </x:c>
      <x:c r="X57" s="2">
        <x:v>51482</x:v>
      </x:c>
      <x:c r="BE57" t="str"/>
    </x:row>
    <x:row r="58">
      <x:c r="B58" t="str">
        <x:f>_xlfn.XLOOKUP(TabelaAtivos[[#This Row],[Ambiente]],TabelaAmbientes[Ambiente],TabelaAmbientes[Cod_ambiente],"",0,1)</x:f>
      </x:c>
      <x:c r="D58" t="str">
        <x:f>_xlfn.XLOOKUP(TabelaAtivos[[#This Row],[Ambiente]],TabelaAmbientes[Ambiente],TabelaAmbientes[Zona],"",0,1)</x:f>
      </x:c>
      <x:c r="M58" s="2"/>
      <x:c r="N58" s="2" t="str">
        <x:f t="shared" si="5"/>
      </x:c>
      <x:c r="O58" t="str">
        <x:f t="shared" si="6"/>
      </x:c>
      <x:c r="P58" t="str">
        <x:f t="shared" si="7"/>
      </x:c>
      <x:c r="Q58" s="3"/>
      <x:c r="R58" s="3" t="str">
        <x:f t="shared" si="8"/>
      </x:c>
      <x:c r="U58" t="str">
        <x:f t="shared" si="9"/>
        <x:v>Sem data</x:v>
      </x:c>
      <x:c r="X58" s="2">
        <x:v>51482</x:v>
      </x:c>
      <x:c r="BE58" t="str"/>
    </x:row>
    <x:row r="59">
      <x:c r="B59" t="str">
        <x:f>_xlfn.XLOOKUP(TabelaAtivos[[#This Row],[Ambiente]],TabelaAmbientes[Ambiente],TabelaAmbientes[Cod_ambiente],"",0,1)</x:f>
      </x:c>
      <x:c r="D59" t="str">
        <x:f>_xlfn.XLOOKUP(TabelaAtivos[[#This Row],[Ambiente]],TabelaAmbientes[Ambiente],TabelaAmbientes[Zona],"",0,1)</x:f>
      </x:c>
      <x:c r="M59" s="2"/>
      <x:c r="N59" s="2" t="str">
        <x:f t="shared" si="5"/>
      </x:c>
      <x:c r="O59" t="str">
        <x:f t="shared" si="6"/>
      </x:c>
      <x:c r="P59" t="str">
        <x:f t="shared" si="7"/>
      </x:c>
      <x:c r="Q59" s="3"/>
      <x:c r="R59" s="3" t="str">
        <x:f t="shared" si="8"/>
      </x:c>
      <x:c r="U59" t="str">
        <x:f t="shared" si="9"/>
        <x:v>Sem data</x:v>
      </x:c>
      <x:c r="X59" s="2">
        <x:v>51482</x:v>
      </x:c>
      <x:c r="BE59" t="str"/>
    </x:row>
    <x:row r="60">
      <x:c r="B60" t="str">
        <x:f>_xlfn.XLOOKUP(TabelaAtivos[[#This Row],[Ambiente]],TabelaAmbientes[Ambiente],TabelaAmbientes[Cod_ambiente],"",0,1)</x:f>
      </x:c>
      <x:c r="D60" t="str">
        <x:f>_xlfn.XLOOKUP(TabelaAtivos[[#This Row],[Ambiente]],TabelaAmbientes[Ambiente],TabelaAmbientes[Zona],"",0,1)</x:f>
      </x:c>
      <x:c r="M60" s="2"/>
      <x:c r="N60" s="2" t="str">
        <x:f t="shared" si="5"/>
      </x:c>
      <x:c r="O60" t="str">
        <x:f t="shared" si="6"/>
      </x:c>
      <x:c r="P60" t="str">
        <x:f t="shared" si="7"/>
      </x:c>
      <x:c r="Q60" s="3"/>
      <x:c r="R60" s="3" t="str">
        <x:f t="shared" si="8"/>
      </x:c>
      <x:c r="U60" t="str">
        <x:f t="shared" si="9"/>
        <x:v>Sem data</x:v>
      </x:c>
      <x:c r="X60" s="2">
        <x:v>51482</x:v>
      </x:c>
      <x:c r="BE60" t="str"/>
    </x:row>
    <x:row r="61">
      <x:c r="B61" t="str">
        <x:f>_xlfn.XLOOKUP(TabelaAtivos[[#This Row],[Ambiente]],TabelaAmbientes[Ambiente],TabelaAmbientes[Cod_ambiente],"",0,1)</x:f>
      </x:c>
      <x:c r="D61" t="str">
        <x:f>_xlfn.XLOOKUP(TabelaAtivos[[#This Row],[Ambiente]],TabelaAmbientes[Ambiente],TabelaAmbientes[Zona],"",0,1)</x:f>
      </x:c>
      <x:c r="M61" s="2"/>
      <x:c r="N61" s="2" t="str">
        <x:f t="shared" si="5"/>
      </x:c>
      <x:c r="O61" t="str">
        <x:f t="shared" si="6"/>
      </x:c>
      <x:c r="P61" t="str">
        <x:f t="shared" si="7"/>
      </x:c>
      <x:c r="Q61" s="3"/>
      <x:c r="R61" s="3" t="str">
        <x:f t="shared" si="8"/>
      </x:c>
      <x:c r="U61" t="str">
        <x:f t="shared" si="9"/>
        <x:v>Sem data</x:v>
      </x:c>
      <x:c r="X61" s="2">
        <x:v>51482</x:v>
      </x:c>
      <x:c r="BE61" t="str"/>
    </x:row>
    <x:row r="62">
      <x:c r="B62" t="str">
        <x:f>_xlfn.XLOOKUP(TabelaAtivos[[#This Row],[Ambiente]],TabelaAmbientes[Ambiente],TabelaAmbientes[Cod_ambiente],"",0,1)</x:f>
      </x:c>
      <x:c r="D62" t="str">
        <x:f>_xlfn.XLOOKUP(TabelaAtivos[[#This Row],[Ambiente]],TabelaAmbientes[Ambiente],TabelaAmbientes[Zona],"",0,1)</x:f>
      </x:c>
      <x:c r="M62" s="2"/>
      <x:c r="N62" s="2" t="str">
        <x:f t="shared" si="5"/>
      </x:c>
      <x:c r="O62" t="str">
        <x:f t="shared" si="6"/>
      </x:c>
      <x:c r="P62" t="str">
        <x:f t="shared" si="7"/>
      </x:c>
      <x:c r="Q62" s="3"/>
      <x:c r="R62" s="3" t="str">
        <x:f t="shared" si="8"/>
      </x:c>
      <x:c r="U62" t="str">
        <x:f t="shared" si="9"/>
        <x:v>Sem data</x:v>
      </x:c>
      <x:c r="X62" s="2">
        <x:v>51482</x:v>
      </x:c>
      <x:c r="BE62" t="str"/>
    </x:row>
    <x:row r="63">
      <x:c r="B63" t="str">
        <x:f>_xlfn.XLOOKUP(TabelaAtivos[[#This Row],[Ambiente]],TabelaAmbientes[Ambiente],TabelaAmbientes[Cod_ambiente],"",0,1)</x:f>
      </x:c>
      <x:c r="D63" t="str">
        <x:f>_xlfn.XLOOKUP(TabelaAtivos[[#This Row],[Ambiente]],TabelaAmbientes[Ambiente],TabelaAmbientes[Zona],"",0,1)</x:f>
      </x:c>
      <x:c r="M63" s="2"/>
      <x:c r="N63" s="2" t="str">
        <x:f t="shared" si="5"/>
      </x:c>
      <x:c r="O63" t="str">
        <x:f t="shared" si="6"/>
      </x:c>
      <x:c r="P63" t="str">
        <x:f t="shared" si="7"/>
      </x:c>
      <x:c r="Q63" s="3"/>
      <x:c r="R63" s="3" t="str">
        <x:f t="shared" si="8"/>
      </x:c>
      <x:c r="U63" t="str">
        <x:f t="shared" si="9"/>
        <x:v>Sem data</x:v>
      </x:c>
      <x:c r="X63" s="2">
        <x:v>51482</x:v>
      </x:c>
      <x:c r="BE63" t="str"/>
    </x:row>
    <x:row r="64">
      <x:c r="B64" t="str">
        <x:f>_xlfn.XLOOKUP(TabelaAtivos[[#This Row],[Ambiente]],TabelaAmbientes[Ambiente],TabelaAmbientes[Cod_ambiente],"",0,1)</x:f>
      </x:c>
      <x:c r="D64" t="str">
        <x:f>_xlfn.XLOOKUP(TabelaAtivos[[#This Row],[Ambiente]],TabelaAmbientes[Ambiente],TabelaAmbientes[Zona],"",0,1)</x:f>
      </x:c>
      <x:c r="M64" s="2"/>
      <x:c r="N64" s="2" t="str">
        <x:f t="shared" si="5"/>
      </x:c>
      <x:c r="O64" t="str">
        <x:f t="shared" si="6"/>
      </x:c>
      <x:c r="P64" t="str">
        <x:f t="shared" si="7"/>
      </x:c>
      <x:c r="Q64" s="3"/>
      <x:c r="R64" s="3" t="str">
        <x:f t="shared" si="8"/>
      </x:c>
      <x:c r="U64" t="str">
        <x:f t="shared" si="9"/>
        <x:v>Sem data</x:v>
      </x:c>
      <x:c r="X64" s="2">
        <x:v>51482</x:v>
      </x:c>
      <x:c r="BE64" t="str"/>
    </x:row>
    <x:row r="65">
      <x:c r="B65" t="str">
        <x:f>_xlfn.XLOOKUP(TabelaAtivos[[#This Row],[Ambiente]],TabelaAmbientes[Ambiente],TabelaAmbientes[Cod_ambiente],"",0,1)</x:f>
      </x:c>
      <x:c r="D65" t="str">
        <x:f>_xlfn.XLOOKUP(TabelaAtivos[[#This Row],[Ambiente]],TabelaAmbientes[Ambiente],TabelaAmbientes[Zona],"",0,1)</x:f>
      </x:c>
      <x:c r="M65" s="2"/>
      <x:c r="N65" s="2" t="str">
        <x:f t="shared" si="5"/>
      </x:c>
      <x:c r="O65" t="str">
        <x:f t="shared" si="6"/>
      </x:c>
      <x:c r="P65" t="str">
        <x:f t="shared" si="7"/>
      </x:c>
      <x:c r="Q65" s="3"/>
      <x:c r="R65" s="3" t="str">
        <x:f t="shared" si="8"/>
      </x:c>
      <x:c r="U65" t="str">
        <x:f t="shared" si="9"/>
        <x:v>Sem data</x:v>
      </x:c>
      <x:c r="X65" s="2">
        <x:v>51482</x:v>
      </x:c>
      <x:c r="BE65" t="str"/>
    </x:row>
    <x:row r="66">
      <x:c r="B66" t="str">
        <x:f>_xlfn.XLOOKUP(TabelaAtivos[[#This Row],[Ambiente]],TabelaAmbientes[Ambiente],TabelaAmbientes[Cod_ambiente],"",0,1)</x:f>
      </x:c>
      <x:c r="D66" t="str">
        <x:f>_xlfn.XLOOKUP(TabelaAtivos[[#This Row],[Ambiente]],TabelaAmbientes[Ambiente],TabelaAmbientes[Zona],"",0,1)</x:f>
      </x:c>
      <x:c r="M66" s="2"/>
      <x:c r="N66" s="2" t="str">
        <x:f t="shared" ref="N66:N97" si="10">IF(M66="","",EDATE(M66,L66))</x:f>
      </x:c>
      <x:c r="O66" t="str">
        <x:f t="shared" ref="O66:O97" si="11">IF(N66="","",YEAR(N66))</x:f>
      </x:c>
      <x:c r="P66" t="str">
        <x:f t="shared" ref="P66:P97" si="12">IF(N66="","",TEXT(N66,"mmm"))</x:f>
      </x:c>
      <x:c r="Q66" s="3"/>
      <x:c r="R66" s="3" t="str">
        <x:f t="shared" ref="R66:R97" si="13">IF(OR(J66="",Q66=""),"",J66*Q66)</x:f>
      </x:c>
      <x:c r="U66" t="str">
        <x:f t="shared" ref="U66:U97" si="14">IF(N66="","Sem data",IF(N66&lt;TODAY(),"Vencido",IF(N66&lt;=TODAY()+30,"Próx. 30 dias",IF(N66&lt;=TODAY()+90,"Próx. 90 dias","Programado"))))</x:f>
        <x:v>Sem data</x:v>
      </x:c>
      <x:c r="X66" s="2">
        <x:v>51482</x:v>
      </x:c>
      <x:c r="BE66" t="str"/>
    </x:row>
    <x:row r="67">
      <x:c r="B67" t="str">
        <x:f>_xlfn.XLOOKUP(TabelaAtivos[[#This Row],[Ambiente]],TabelaAmbientes[Ambiente],TabelaAmbientes[Cod_ambiente],"",0,1)</x:f>
      </x:c>
      <x:c r="D67" t="str">
        <x:f>_xlfn.XLOOKUP(TabelaAtivos[[#This Row],[Ambiente]],TabelaAmbientes[Ambiente],TabelaAmbientes[Zona],"",0,1)</x:f>
      </x:c>
      <x:c r="M67" s="2"/>
      <x:c r="N67" s="2" t="str">
        <x:f t="shared" si="10"/>
      </x:c>
      <x:c r="O67" t="str">
        <x:f t="shared" si="11"/>
      </x:c>
      <x:c r="P67" t="str">
        <x:f t="shared" si="12"/>
      </x:c>
      <x:c r="Q67" s="3"/>
      <x:c r="R67" s="3" t="str">
        <x:f t="shared" si="13"/>
      </x:c>
      <x:c r="U67" t="str">
        <x:f t="shared" si="14"/>
        <x:v>Sem data</x:v>
      </x:c>
      <x:c r="X67" s="2">
        <x:v>51482</x:v>
      </x:c>
      <x:c r="BE67" t="str"/>
    </x:row>
    <x:row r="68">
      <x:c r="B68" t="str">
        <x:f>_xlfn.XLOOKUP(TabelaAtivos[[#This Row],[Ambiente]],TabelaAmbientes[Ambiente],TabelaAmbientes[Cod_ambiente],"",0,1)</x:f>
      </x:c>
      <x:c r="D68" t="str">
        <x:f>_xlfn.XLOOKUP(TabelaAtivos[[#This Row],[Ambiente]],TabelaAmbientes[Ambiente],TabelaAmbientes[Zona],"",0,1)</x:f>
      </x:c>
      <x:c r="M68" s="2"/>
      <x:c r="N68" s="2" t="str">
        <x:f t="shared" si="10"/>
      </x:c>
      <x:c r="O68" t="str">
        <x:f t="shared" si="11"/>
      </x:c>
      <x:c r="P68" t="str">
        <x:f t="shared" si="12"/>
      </x:c>
      <x:c r="Q68" s="3"/>
      <x:c r="R68" s="3" t="str">
        <x:f t="shared" si="13"/>
      </x:c>
      <x:c r="U68" t="str">
        <x:f t="shared" si="14"/>
        <x:v>Sem data</x:v>
      </x:c>
      <x:c r="X68" s="2">
        <x:v>51482</x:v>
      </x:c>
      <x:c r="BE68" t="str"/>
    </x:row>
    <x:row r="69">
      <x:c r="B69" t="str">
        <x:f>_xlfn.XLOOKUP(TabelaAtivos[[#This Row],[Ambiente]],TabelaAmbientes[Ambiente],TabelaAmbientes[Cod_ambiente],"",0,1)</x:f>
      </x:c>
      <x:c r="D69" t="str">
        <x:f>_xlfn.XLOOKUP(TabelaAtivos[[#This Row],[Ambiente]],TabelaAmbientes[Ambiente],TabelaAmbientes[Zona],"",0,1)</x:f>
      </x:c>
      <x:c r="M69" s="2"/>
      <x:c r="N69" s="2" t="str">
        <x:f t="shared" si="10"/>
      </x:c>
      <x:c r="O69" t="str">
        <x:f t="shared" si="11"/>
      </x:c>
      <x:c r="P69" t="str">
        <x:f t="shared" si="12"/>
      </x:c>
      <x:c r="Q69" s="3"/>
      <x:c r="R69" s="3" t="str">
        <x:f t="shared" si="13"/>
      </x:c>
      <x:c r="U69" t="str">
        <x:f t="shared" si="14"/>
        <x:v>Sem data</x:v>
      </x:c>
      <x:c r="X69" s="2">
        <x:v>51482</x:v>
      </x:c>
      <x:c r="BE69" t="str"/>
    </x:row>
    <x:row r="70">
      <x:c r="B70" t="str">
        <x:f>_xlfn.XLOOKUP(TabelaAtivos[[#This Row],[Ambiente]],TabelaAmbientes[Ambiente],TabelaAmbientes[Cod_ambiente],"",0,1)</x:f>
      </x:c>
      <x:c r="D70" t="str">
        <x:f>_xlfn.XLOOKUP(TabelaAtivos[[#This Row],[Ambiente]],TabelaAmbientes[Ambiente],TabelaAmbientes[Zona],"",0,1)</x:f>
      </x:c>
      <x:c r="M70" s="2"/>
      <x:c r="N70" s="2" t="str">
        <x:f t="shared" si="10"/>
      </x:c>
      <x:c r="O70" t="str">
        <x:f t="shared" si="11"/>
      </x:c>
      <x:c r="P70" t="str">
        <x:f t="shared" si="12"/>
      </x:c>
      <x:c r="Q70" s="3"/>
      <x:c r="R70" s="3" t="str">
        <x:f t="shared" si="13"/>
      </x:c>
      <x:c r="U70" t="str">
        <x:f t="shared" si="14"/>
        <x:v>Sem data</x:v>
      </x:c>
      <x:c r="X70" s="2">
        <x:v>51482</x:v>
      </x:c>
      <x:c r="BE70" t="str"/>
    </x:row>
    <x:row r="71">
      <x:c r="B71" t="str">
        <x:f>_xlfn.XLOOKUP(TabelaAtivos[[#This Row],[Ambiente]],TabelaAmbientes[Ambiente],TabelaAmbientes[Cod_ambiente],"",0,1)</x:f>
      </x:c>
      <x:c r="D71" t="str">
        <x:f>_xlfn.XLOOKUP(TabelaAtivos[[#This Row],[Ambiente]],TabelaAmbientes[Ambiente],TabelaAmbientes[Zona],"",0,1)</x:f>
      </x:c>
      <x:c r="M71" s="2"/>
      <x:c r="N71" s="2" t="str">
        <x:f t="shared" si="10"/>
      </x:c>
      <x:c r="O71" t="str">
        <x:f t="shared" si="11"/>
      </x:c>
      <x:c r="P71" t="str">
        <x:f t="shared" si="12"/>
      </x:c>
      <x:c r="Q71" s="3"/>
      <x:c r="R71" s="3" t="str">
        <x:f t="shared" si="13"/>
      </x:c>
      <x:c r="U71" t="str">
        <x:f t="shared" si="14"/>
        <x:v>Sem data</x:v>
      </x:c>
      <x:c r="X71" s="2">
        <x:v>51482</x:v>
      </x:c>
      <x:c r="BE71" t="str"/>
    </x:row>
    <x:row r="72">
      <x:c r="B72" t="str">
        <x:f>_xlfn.XLOOKUP(TabelaAtivos[[#This Row],[Ambiente]],TabelaAmbientes[Ambiente],TabelaAmbientes[Cod_ambiente],"",0,1)</x:f>
      </x:c>
      <x:c r="D72" t="str">
        <x:f>_xlfn.XLOOKUP(TabelaAtivos[[#This Row],[Ambiente]],TabelaAmbientes[Ambiente],TabelaAmbientes[Zona],"",0,1)</x:f>
      </x:c>
      <x:c r="M72" s="2"/>
      <x:c r="N72" s="2" t="str">
        <x:f t="shared" si="10"/>
      </x:c>
      <x:c r="O72" t="str">
        <x:f t="shared" si="11"/>
      </x:c>
      <x:c r="P72" t="str">
        <x:f t="shared" si="12"/>
      </x:c>
      <x:c r="Q72" s="3"/>
      <x:c r="R72" s="3" t="str">
        <x:f t="shared" si="13"/>
      </x:c>
      <x:c r="U72" t="str">
        <x:f t="shared" si="14"/>
        <x:v>Sem data</x:v>
      </x:c>
      <x:c r="X72" s="2">
        <x:v>51482</x:v>
      </x:c>
      <x:c r="BE72" t="str"/>
    </x:row>
    <x:row r="73">
      <x:c r="B73" t="str">
        <x:f>_xlfn.XLOOKUP(TabelaAtivos[[#This Row],[Ambiente]],TabelaAmbientes[Ambiente],TabelaAmbientes[Cod_ambiente],"",0,1)</x:f>
      </x:c>
      <x:c r="D73" t="str">
        <x:f>_xlfn.XLOOKUP(TabelaAtivos[[#This Row],[Ambiente]],TabelaAmbientes[Ambiente],TabelaAmbientes[Zona],"",0,1)</x:f>
      </x:c>
      <x:c r="M73" s="2"/>
      <x:c r="N73" s="2" t="str">
        <x:f t="shared" si="10"/>
      </x:c>
      <x:c r="O73" t="str">
        <x:f t="shared" si="11"/>
      </x:c>
      <x:c r="P73" t="str">
        <x:f t="shared" si="12"/>
      </x:c>
      <x:c r="Q73" s="3"/>
      <x:c r="R73" s="3" t="str">
        <x:f t="shared" si="13"/>
      </x:c>
      <x:c r="U73" t="str">
        <x:f t="shared" si="14"/>
        <x:v>Sem data</x:v>
      </x:c>
      <x:c r="X73" s="2">
        <x:v>51482</x:v>
      </x:c>
      <x:c r="BE73" t="str"/>
    </x:row>
    <x:row r="74">
      <x:c r="B74" t="str">
        <x:f>_xlfn.XLOOKUP(TabelaAtivos[[#This Row],[Ambiente]],TabelaAmbientes[Ambiente],TabelaAmbientes[Cod_ambiente],"",0,1)</x:f>
      </x:c>
      <x:c r="D74" t="str">
        <x:f>_xlfn.XLOOKUP(TabelaAtivos[[#This Row],[Ambiente]],TabelaAmbientes[Ambiente],TabelaAmbientes[Zona],"",0,1)</x:f>
      </x:c>
      <x:c r="M74" s="2"/>
      <x:c r="N74" s="2" t="str">
        <x:f t="shared" si="10"/>
      </x:c>
      <x:c r="O74" t="str">
        <x:f t="shared" si="11"/>
      </x:c>
      <x:c r="P74" t="str">
        <x:f t="shared" si="12"/>
      </x:c>
      <x:c r="Q74" s="3"/>
      <x:c r="R74" s="3" t="str">
        <x:f t="shared" si="13"/>
      </x:c>
      <x:c r="U74" t="str">
        <x:f t="shared" si="14"/>
        <x:v>Sem data</x:v>
      </x:c>
      <x:c r="X74" s="2">
        <x:v>51482</x:v>
      </x:c>
      <x:c r="BE74" t="str"/>
    </x:row>
    <x:row r="75">
      <x:c r="B75" t="str">
        <x:f>_xlfn.XLOOKUP(TabelaAtivos[[#This Row],[Ambiente]],TabelaAmbientes[Ambiente],TabelaAmbientes[Cod_ambiente],"",0,1)</x:f>
      </x:c>
      <x:c r="D75" t="str">
        <x:f>_xlfn.XLOOKUP(TabelaAtivos[[#This Row],[Ambiente]],TabelaAmbientes[Ambiente],TabelaAmbientes[Zona],"",0,1)</x:f>
      </x:c>
      <x:c r="M75" s="2"/>
      <x:c r="N75" s="2" t="str">
        <x:f t="shared" si="10"/>
      </x:c>
      <x:c r="O75" t="str">
        <x:f t="shared" si="11"/>
      </x:c>
      <x:c r="P75" t="str">
        <x:f t="shared" si="12"/>
      </x:c>
      <x:c r="Q75" s="3"/>
      <x:c r="R75" s="3" t="str">
        <x:f t="shared" si="13"/>
      </x:c>
      <x:c r="U75" t="str">
        <x:f t="shared" si="14"/>
        <x:v>Sem data</x:v>
      </x:c>
      <x:c r="X75" s="2">
        <x:v>51482</x:v>
      </x:c>
      <x:c r="BE75" t="str"/>
    </x:row>
    <x:row r="76">
      <x:c r="B76" t="str">
        <x:f>_xlfn.XLOOKUP(TabelaAtivos[[#This Row],[Ambiente]],TabelaAmbientes[Ambiente],TabelaAmbientes[Cod_ambiente],"",0,1)</x:f>
      </x:c>
      <x:c r="D76" t="str">
        <x:f>_xlfn.XLOOKUP(TabelaAtivos[[#This Row],[Ambiente]],TabelaAmbientes[Ambiente],TabelaAmbientes[Zona],"",0,1)</x:f>
      </x:c>
      <x:c r="M76" s="2"/>
      <x:c r="N76" s="2" t="str">
        <x:f t="shared" si="10"/>
      </x:c>
      <x:c r="O76" t="str">
        <x:f t="shared" si="11"/>
      </x:c>
      <x:c r="P76" t="str">
        <x:f t="shared" si="12"/>
      </x:c>
      <x:c r="Q76" s="3"/>
      <x:c r="R76" s="3" t="str">
        <x:f t="shared" si="13"/>
      </x:c>
      <x:c r="U76" t="str">
        <x:f t="shared" si="14"/>
        <x:v>Sem data</x:v>
      </x:c>
      <x:c r="X76" s="2">
        <x:v>51482</x:v>
      </x:c>
      <x:c r="BE76" t="str"/>
    </x:row>
    <x:row r="77">
      <x:c r="B77" t="str">
        <x:f>_xlfn.XLOOKUP(TabelaAtivos[[#This Row],[Ambiente]],TabelaAmbientes[Ambiente],TabelaAmbientes[Cod_ambiente],"",0,1)</x:f>
      </x:c>
      <x:c r="D77" t="str">
        <x:f>_xlfn.XLOOKUP(TabelaAtivos[[#This Row],[Ambiente]],TabelaAmbientes[Ambiente],TabelaAmbientes[Zona],"",0,1)</x:f>
      </x:c>
      <x:c r="M77" s="2"/>
      <x:c r="N77" s="2" t="str">
        <x:f t="shared" si="10"/>
      </x:c>
      <x:c r="O77" t="str">
        <x:f t="shared" si="11"/>
      </x:c>
      <x:c r="P77" t="str">
        <x:f t="shared" si="12"/>
      </x:c>
      <x:c r="Q77" s="3"/>
      <x:c r="R77" s="3" t="str">
        <x:f t="shared" si="13"/>
      </x:c>
      <x:c r="U77" t="str">
        <x:f t="shared" si="14"/>
        <x:v>Sem data</x:v>
      </x:c>
      <x:c r="X77" s="2">
        <x:v>51482</x:v>
      </x:c>
      <x:c r="BE77" t="str"/>
    </x:row>
    <x:row r="78">
      <x:c r="B78" t="str">
        <x:f>_xlfn.XLOOKUP(TabelaAtivos[[#This Row],[Ambiente]],TabelaAmbientes[Ambiente],TabelaAmbientes[Cod_ambiente],"",0,1)</x:f>
      </x:c>
      <x:c r="D78" t="str">
        <x:f>_xlfn.XLOOKUP(TabelaAtivos[[#This Row],[Ambiente]],TabelaAmbientes[Ambiente],TabelaAmbientes[Zona],"",0,1)</x:f>
      </x:c>
      <x:c r="M78" s="2"/>
      <x:c r="N78" s="2" t="str">
        <x:f t="shared" si="10"/>
      </x:c>
      <x:c r="O78" t="str">
        <x:f t="shared" si="11"/>
      </x:c>
      <x:c r="P78" t="str">
        <x:f t="shared" si="12"/>
      </x:c>
      <x:c r="Q78" s="3"/>
      <x:c r="R78" s="3" t="str">
        <x:f t="shared" si="13"/>
      </x:c>
      <x:c r="U78" t="str">
        <x:f t="shared" si="14"/>
        <x:v>Sem data</x:v>
      </x:c>
      <x:c r="X78" s="2">
        <x:v>51482</x:v>
      </x:c>
      <x:c r="BE78" t="str"/>
    </x:row>
    <x:row r="79">
      <x:c r="B79" t="str">
        <x:f>_xlfn.XLOOKUP(TabelaAtivos[[#This Row],[Ambiente]],TabelaAmbientes[Ambiente],TabelaAmbientes[Cod_ambiente],"",0,1)</x:f>
      </x:c>
      <x:c r="D79" t="str">
        <x:f>_xlfn.XLOOKUP(TabelaAtivos[[#This Row],[Ambiente]],TabelaAmbientes[Ambiente],TabelaAmbientes[Zona],"",0,1)</x:f>
      </x:c>
      <x:c r="M79" s="2"/>
      <x:c r="N79" s="2" t="str">
        <x:f t="shared" si="10"/>
      </x:c>
      <x:c r="O79" t="str">
        <x:f t="shared" si="11"/>
      </x:c>
      <x:c r="P79" t="str">
        <x:f t="shared" si="12"/>
      </x:c>
      <x:c r="Q79" s="3"/>
      <x:c r="R79" s="3" t="str">
        <x:f t="shared" si="13"/>
      </x:c>
      <x:c r="U79" t="str">
        <x:f t="shared" si="14"/>
        <x:v>Sem data</x:v>
      </x:c>
      <x:c r="X79" s="2">
        <x:v>51482</x:v>
      </x:c>
      <x:c r="BE79" t="str"/>
    </x:row>
    <x:row r="80">
      <x:c r="B80" t="str">
        <x:f>_xlfn.XLOOKUP(TabelaAtivos[[#This Row],[Ambiente]],TabelaAmbientes[Ambiente],TabelaAmbientes[Cod_ambiente],"",0,1)</x:f>
      </x:c>
      <x:c r="D80" t="str">
        <x:f>_xlfn.XLOOKUP(TabelaAtivos[[#This Row],[Ambiente]],TabelaAmbientes[Ambiente],TabelaAmbientes[Zona],"",0,1)</x:f>
      </x:c>
      <x:c r="M80" s="2"/>
      <x:c r="N80" s="2" t="str">
        <x:f t="shared" si="10"/>
      </x:c>
      <x:c r="O80" t="str">
        <x:f t="shared" si="11"/>
      </x:c>
      <x:c r="P80" t="str">
        <x:f t="shared" si="12"/>
      </x:c>
      <x:c r="Q80" s="3"/>
      <x:c r="R80" s="3" t="str">
        <x:f t="shared" si="13"/>
      </x:c>
      <x:c r="U80" t="str">
        <x:f t="shared" si="14"/>
        <x:v>Sem data</x:v>
      </x:c>
      <x:c r="X80" s="2">
        <x:v>51482</x:v>
      </x:c>
      <x:c r="BE80" t="str"/>
    </x:row>
    <x:row r="81">
      <x:c r="B81" t="str">
        <x:f>_xlfn.XLOOKUP(TabelaAtivos[[#This Row],[Ambiente]],TabelaAmbientes[Ambiente],TabelaAmbientes[Cod_ambiente],"",0,1)</x:f>
      </x:c>
      <x:c r="D81" t="str">
        <x:f>_xlfn.XLOOKUP(TabelaAtivos[[#This Row],[Ambiente]],TabelaAmbientes[Ambiente],TabelaAmbientes[Zona],"",0,1)</x:f>
      </x:c>
      <x:c r="M81" s="2"/>
      <x:c r="N81" s="2" t="str">
        <x:f t="shared" si="10"/>
      </x:c>
      <x:c r="O81" t="str">
        <x:f t="shared" si="11"/>
      </x:c>
      <x:c r="P81" t="str">
        <x:f t="shared" si="12"/>
      </x:c>
      <x:c r="Q81" s="3"/>
      <x:c r="R81" s="3" t="str">
        <x:f t="shared" si="13"/>
      </x:c>
      <x:c r="U81" t="str">
        <x:f t="shared" si="14"/>
        <x:v>Sem data</x:v>
      </x:c>
      <x:c r="X81" s="2">
        <x:v>51482</x:v>
      </x:c>
      <x:c r="BE81" t="str"/>
    </x:row>
    <x:row r="82">
      <x:c r="B82" t="str">
        <x:f>_xlfn.XLOOKUP(TabelaAtivos[[#This Row],[Ambiente]],TabelaAmbientes[Ambiente],TabelaAmbientes[Cod_ambiente],"",0,1)</x:f>
      </x:c>
      <x:c r="D82" t="str">
        <x:f>_xlfn.XLOOKUP(TabelaAtivos[[#This Row],[Ambiente]],TabelaAmbientes[Ambiente],TabelaAmbientes[Zona],"",0,1)</x:f>
      </x:c>
      <x:c r="M82" s="2"/>
      <x:c r="N82" s="2" t="str">
        <x:f t="shared" si="10"/>
      </x:c>
      <x:c r="O82" t="str">
        <x:f t="shared" si="11"/>
      </x:c>
      <x:c r="P82" t="str">
        <x:f t="shared" si="12"/>
      </x:c>
      <x:c r="Q82" s="3"/>
      <x:c r="R82" s="3" t="str">
        <x:f t="shared" si="13"/>
      </x:c>
      <x:c r="U82" t="str">
        <x:f t="shared" si="14"/>
        <x:v>Sem data</x:v>
      </x:c>
      <x:c r="X82" s="2">
        <x:v>51482</x:v>
      </x:c>
      <x:c r="BE82" t="str"/>
    </x:row>
    <x:row r="83">
      <x:c r="B83" t="str">
        <x:f>_xlfn.XLOOKUP(TabelaAtivos[[#This Row],[Ambiente]],TabelaAmbientes[Ambiente],TabelaAmbientes[Cod_ambiente],"",0,1)</x:f>
      </x:c>
      <x:c r="D83" t="str">
        <x:f>_xlfn.XLOOKUP(TabelaAtivos[[#This Row],[Ambiente]],TabelaAmbientes[Ambiente],TabelaAmbientes[Zona],"",0,1)</x:f>
      </x:c>
      <x:c r="M83" s="2"/>
      <x:c r="N83" s="2" t="str">
        <x:f t="shared" si="10"/>
      </x:c>
      <x:c r="O83" t="str">
        <x:f t="shared" si="11"/>
      </x:c>
      <x:c r="P83" t="str">
        <x:f t="shared" si="12"/>
      </x:c>
      <x:c r="Q83" s="3"/>
      <x:c r="R83" s="3" t="str">
        <x:f t="shared" si="13"/>
      </x:c>
      <x:c r="U83" t="str">
        <x:f t="shared" si="14"/>
        <x:v>Sem data</x:v>
      </x:c>
      <x:c r="X83" s="2">
        <x:v>51482</x:v>
      </x:c>
      <x:c r="BE83" t="str"/>
    </x:row>
    <x:row r="84">
      <x:c r="B84" t="str">
        <x:f>_xlfn.XLOOKUP(TabelaAtivos[[#This Row],[Ambiente]],TabelaAmbientes[Ambiente],TabelaAmbientes[Cod_ambiente],"",0,1)</x:f>
      </x:c>
      <x:c r="D84" t="str">
        <x:f>_xlfn.XLOOKUP(TabelaAtivos[[#This Row],[Ambiente]],TabelaAmbientes[Ambiente],TabelaAmbientes[Zona],"",0,1)</x:f>
      </x:c>
      <x:c r="M84" s="2"/>
      <x:c r="N84" s="2" t="str">
        <x:f t="shared" si="10"/>
      </x:c>
      <x:c r="O84" t="str">
        <x:f t="shared" si="11"/>
      </x:c>
      <x:c r="P84" t="str">
        <x:f t="shared" si="12"/>
      </x:c>
      <x:c r="Q84" s="3"/>
      <x:c r="R84" s="3" t="str">
        <x:f t="shared" si="13"/>
      </x:c>
      <x:c r="U84" t="str">
        <x:f t="shared" si="14"/>
        <x:v>Sem data</x:v>
      </x:c>
      <x:c r="X84" s="2">
        <x:v>51482</x:v>
      </x:c>
      <x:c r="BE84" t="str"/>
    </x:row>
    <x:row r="85">
      <x:c r="B85" t="str">
        <x:f>_xlfn.XLOOKUP(TabelaAtivos[[#This Row],[Ambiente]],TabelaAmbientes[Ambiente],TabelaAmbientes[Cod_ambiente],"",0,1)</x:f>
      </x:c>
      <x:c r="D85" t="str">
        <x:f>_xlfn.XLOOKUP(TabelaAtivos[[#This Row],[Ambiente]],TabelaAmbientes[Ambiente],TabelaAmbientes[Zona],"",0,1)</x:f>
      </x:c>
      <x:c r="M85" s="2"/>
      <x:c r="N85" s="2" t="str">
        <x:f t="shared" si="10"/>
      </x:c>
      <x:c r="O85" t="str">
        <x:f t="shared" si="11"/>
      </x:c>
      <x:c r="P85" t="str">
        <x:f t="shared" si="12"/>
      </x:c>
      <x:c r="Q85" s="3"/>
      <x:c r="R85" s="3" t="str">
        <x:f t="shared" si="13"/>
      </x:c>
      <x:c r="U85" t="str">
        <x:f t="shared" si="14"/>
        <x:v>Sem data</x:v>
      </x:c>
      <x:c r="X85" s="2">
        <x:v>51482</x:v>
      </x:c>
      <x:c r="BE85" t="str"/>
    </x:row>
    <x:row r="86">
      <x:c r="B86" t="str">
        <x:f>_xlfn.XLOOKUP(TabelaAtivos[[#This Row],[Ambiente]],TabelaAmbientes[Ambiente],TabelaAmbientes[Cod_ambiente],"",0,1)</x:f>
      </x:c>
      <x:c r="D86" t="str">
        <x:f>_xlfn.XLOOKUP(TabelaAtivos[[#This Row],[Ambiente]],TabelaAmbientes[Ambiente],TabelaAmbientes[Zona],"",0,1)</x:f>
      </x:c>
      <x:c r="M86" s="2"/>
      <x:c r="N86" s="2" t="str">
        <x:f t="shared" si="10"/>
      </x:c>
      <x:c r="O86" t="str">
        <x:f t="shared" si="11"/>
      </x:c>
      <x:c r="P86" t="str">
        <x:f t="shared" si="12"/>
      </x:c>
      <x:c r="Q86" s="3"/>
      <x:c r="R86" s="3" t="str">
        <x:f t="shared" si="13"/>
      </x:c>
      <x:c r="U86" t="str">
        <x:f t="shared" si="14"/>
        <x:v>Sem data</x:v>
      </x:c>
      <x:c r="X86" s="2">
        <x:v>51482</x:v>
      </x:c>
      <x:c r="BE86" t="str"/>
    </x:row>
    <x:row r="87">
      <x:c r="B87" t="str">
        <x:f>_xlfn.XLOOKUP(TabelaAtivos[[#This Row],[Ambiente]],TabelaAmbientes[Ambiente],TabelaAmbientes[Cod_ambiente],"",0,1)</x:f>
      </x:c>
      <x:c r="D87" t="str">
        <x:f>_xlfn.XLOOKUP(TabelaAtivos[[#This Row],[Ambiente]],TabelaAmbientes[Ambiente],TabelaAmbientes[Zona],"",0,1)</x:f>
      </x:c>
      <x:c r="M87" s="2"/>
      <x:c r="N87" s="2" t="str">
        <x:f t="shared" si="10"/>
      </x:c>
      <x:c r="O87" t="str">
        <x:f t="shared" si="11"/>
      </x:c>
      <x:c r="P87" t="str">
        <x:f t="shared" si="12"/>
      </x:c>
      <x:c r="Q87" s="3"/>
      <x:c r="R87" s="3" t="str">
        <x:f t="shared" si="13"/>
      </x:c>
      <x:c r="U87" t="str">
        <x:f t="shared" si="14"/>
        <x:v>Sem data</x:v>
      </x:c>
      <x:c r="X87" s="2">
        <x:v>51482</x:v>
      </x:c>
      <x:c r="BE87" t="str"/>
    </x:row>
    <x:row r="88">
      <x:c r="B88" t="str">
        <x:f>_xlfn.XLOOKUP(TabelaAtivos[[#This Row],[Ambiente]],TabelaAmbientes[Ambiente],TabelaAmbientes[Cod_ambiente],"",0,1)</x:f>
      </x:c>
      <x:c r="D88" t="str">
        <x:f>_xlfn.XLOOKUP(TabelaAtivos[[#This Row],[Ambiente]],TabelaAmbientes[Ambiente],TabelaAmbientes[Zona],"",0,1)</x:f>
      </x:c>
      <x:c r="M88" s="2"/>
      <x:c r="N88" s="2" t="str">
        <x:f t="shared" si="10"/>
      </x:c>
      <x:c r="O88" t="str">
        <x:f t="shared" si="11"/>
      </x:c>
      <x:c r="P88" t="str">
        <x:f t="shared" si="12"/>
      </x:c>
      <x:c r="Q88" s="3"/>
      <x:c r="R88" s="3" t="str">
        <x:f t="shared" si="13"/>
      </x:c>
      <x:c r="U88" t="str">
        <x:f t="shared" si="14"/>
        <x:v>Sem data</x:v>
      </x:c>
      <x:c r="X88" s="2">
        <x:v>51482</x:v>
      </x:c>
      <x:c r="BE88" t="str"/>
    </x:row>
    <x:row r="89">
      <x:c r="B89" t="str">
        <x:f>_xlfn.XLOOKUP(TabelaAtivos[[#This Row],[Ambiente]],TabelaAmbientes[Ambiente],TabelaAmbientes[Cod_ambiente],"",0,1)</x:f>
      </x:c>
      <x:c r="D89" t="str">
        <x:f>_xlfn.XLOOKUP(TabelaAtivos[[#This Row],[Ambiente]],TabelaAmbientes[Ambiente],TabelaAmbientes[Zona],"",0,1)</x:f>
      </x:c>
      <x:c r="M89" s="2"/>
      <x:c r="N89" s="2" t="str">
        <x:f t="shared" si="10"/>
      </x:c>
      <x:c r="O89" t="str">
        <x:f t="shared" si="11"/>
      </x:c>
      <x:c r="P89" t="str">
        <x:f t="shared" si="12"/>
      </x:c>
      <x:c r="Q89" s="3"/>
      <x:c r="R89" s="3" t="str">
        <x:f t="shared" si="13"/>
      </x:c>
      <x:c r="U89" t="str">
        <x:f t="shared" si="14"/>
        <x:v>Sem data</x:v>
      </x:c>
      <x:c r="X89" s="2">
        <x:v>51482</x:v>
      </x:c>
      <x:c r="BE89" t="str"/>
    </x:row>
    <x:row r="90">
      <x:c r="B90" t="str">
        <x:f>_xlfn.XLOOKUP(TabelaAtivos[[#This Row],[Ambiente]],TabelaAmbientes[Ambiente],TabelaAmbientes[Cod_ambiente],"",0,1)</x:f>
      </x:c>
      <x:c r="D90" t="str">
        <x:f>_xlfn.XLOOKUP(TabelaAtivos[[#This Row],[Ambiente]],TabelaAmbientes[Ambiente],TabelaAmbientes[Zona],"",0,1)</x:f>
      </x:c>
      <x:c r="M90" s="2"/>
      <x:c r="N90" s="2" t="str">
        <x:f t="shared" si="10"/>
      </x:c>
      <x:c r="O90" t="str">
        <x:f t="shared" si="11"/>
      </x:c>
      <x:c r="P90" t="str">
        <x:f t="shared" si="12"/>
      </x:c>
      <x:c r="Q90" s="3"/>
      <x:c r="R90" s="3" t="str">
        <x:f t="shared" si="13"/>
      </x:c>
      <x:c r="U90" t="str">
        <x:f t="shared" si="14"/>
        <x:v>Sem data</x:v>
      </x:c>
      <x:c r="X90" s="2">
        <x:v>51482</x:v>
      </x:c>
      <x:c r="BE90" t="str"/>
    </x:row>
    <x:row r="91">
      <x:c r="B91" t="str">
        <x:f>_xlfn.XLOOKUP(TabelaAtivos[[#This Row],[Ambiente]],TabelaAmbientes[Ambiente],TabelaAmbientes[Cod_ambiente],"",0,1)</x:f>
      </x:c>
      <x:c r="D91" t="str">
        <x:f>_xlfn.XLOOKUP(TabelaAtivos[[#This Row],[Ambiente]],TabelaAmbientes[Ambiente],TabelaAmbientes[Zona],"",0,1)</x:f>
      </x:c>
      <x:c r="M91" s="2"/>
      <x:c r="N91" s="2" t="str">
        <x:f t="shared" si="10"/>
      </x:c>
      <x:c r="O91" t="str">
        <x:f t="shared" si="11"/>
      </x:c>
      <x:c r="P91" t="str">
        <x:f t="shared" si="12"/>
      </x:c>
      <x:c r="Q91" s="3"/>
      <x:c r="R91" s="3" t="str">
        <x:f t="shared" si="13"/>
      </x:c>
      <x:c r="U91" t="str">
        <x:f t="shared" si="14"/>
        <x:v>Sem data</x:v>
      </x:c>
      <x:c r="X91" s="2">
        <x:v>51482</x:v>
      </x:c>
      <x:c r="BE91" t="str"/>
    </x:row>
    <x:row r="92">
      <x:c r="B92" t="str">
        <x:f>_xlfn.XLOOKUP(TabelaAtivos[[#This Row],[Ambiente]],TabelaAmbientes[Ambiente],TabelaAmbientes[Cod_ambiente],"",0,1)</x:f>
      </x:c>
      <x:c r="D92" t="str">
        <x:f>_xlfn.XLOOKUP(TabelaAtivos[[#This Row],[Ambiente]],TabelaAmbientes[Ambiente],TabelaAmbientes[Zona],"",0,1)</x:f>
      </x:c>
      <x:c r="M92" s="2"/>
      <x:c r="N92" s="2" t="str">
        <x:f t="shared" si="10"/>
      </x:c>
      <x:c r="O92" t="str">
        <x:f t="shared" si="11"/>
      </x:c>
      <x:c r="P92" t="str">
        <x:f t="shared" si="12"/>
      </x:c>
      <x:c r="Q92" s="3"/>
      <x:c r="R92" s="3" t="str">
        <x:f t="shared" si="13"/>
      </x:c>
      <x:c r="U92" t="str">
        <x:f t="shared" si="14"/>
        <x:v>Sem data</x:v>
      </x:c>
      <x:c r="X92" s="2">
        <x:v>51482</x:v>
      </x:c>
      <x:c r="BE92" t="str"/>
    </x:row>
    <x:row r="93">
      <x:c r="B93" t="str">
        <x:f>_xlfn.XLOOKUP(TabelaAtivos[[#This Row],[Ambiente]],TabelaAmbientes[Ambiente],TabelaAmbientes[Cod_ambiente],"",0,1)</x:f>
      </x:c>
      <x:c r="D93" t="str">
        <x:f>_xlfn.XLOOKUP(TabelaAtivos[[#This Row],[Ambiente]],TabelaAmbientes[Ambiente],TabelaAmbientes[Zona],"",0,1)</x:f>
      </x:c>
      <x:c r="M93" s="2"/>
      <x:c r="N93" s="2" t="str">
        <x:f t="shared" si="10"/>
      </x:c>
      <x:c r="O93" t="str">
        <x:f t="shared" si="11"/>
      </x:c>
      <x:c r="P93" t="str">
        <x:f t="shared" si="12"/>
      </x:c>
      <x:c r="Q93" s="3"/>
      <x:c r="R93" s="3" t="str">
        <x:f t="shared" si="13"/>
      </x:c>
      <x:c r="U93" t="str">
        <x:f t="shared" si="14"/>
        <x:v>Sem data</x:v>
      </x:c>
      <x:c r="X93" s="2">
        <x:v>51482</x:v>
      </x:c>
      <x:c r="BE93" t="str"/>
    </x:row>
    <x:row r="94">
      <x:c r="B94" t="str">
        <x:f>_xlfn.XLOOKUP(TabelaAtivos[[#This Row],[Ambiente]],TabelaAmbientes[Ambiente],TabelaAmbientes[Cod_ambiente],"",0,1)</x:f>
      </x:c>
      <x:c r="D94" t="str">
        <x:f>_xlfn.XLOOKUP(TabelaAtivos[[#This Row],[Ambiente]],TabelaAmbientes[Ambiente],TabelaAmbientes[Zona],"",0,1)</x:f>
      </x:c>
      <x:c r="M94" s="2"/>
      <x:c r="N94" s="2" t="str">
        <x:f t="shared" si="10"/>
      </x:c>
      <x:c r="O94" t="str">
        <x:f t="shared" si="11"/>
      </x:c>
      <x:c r="P94" t="str">
        <x:f t="shared" si="12"/>
      </x:c>
      <x:c r="Q94" s="3"/>
      <x:c r="R94" s="3" t="str">
        <x:f t="shared" si="13"/>
      </x:c>
      <x:c r="U94" t="str">
        <x:f t="shared" si="14"/>
        <x:v>Sem data</x:v>
      </x:c>
      <x:c r="X94" s="2">
        <x:v>51482</x:v>
      </x:c>
      <x:c r="BE94" t="str"/>
    </x:row>
    <x:row r="95">
      <x:c r="B95" t="str">
        <x:f>_xlfn.XLOOKUP(TabelaAtivos[[#This Row],[Ambiente]],TabelaAmbientes[Ambiente],TabelaAmbientes[Cod_ambiente],"",0,1)</x:f>
      </x:c>
      <x:c r="D95" t="str">
        <x:f>_xlfn.XLOOKUP(TabelaAtivos[[#This Row],[Ambiente]],TabelaAmbientes[Ambiente],TabelaAmbientes[Zona],"",0,1)</x:f>
      </x:c>
      <x:c r="M95" s="2"/>
      <x:c r="N95" s="2" t="str">
        <x:f t="shared" si="10"/>
      </x:c>
      <x:c r="O95" t="str">
        <x:f t="shared" si="11"/>
      </x:c>
      <x:c r="P95" t="str">
        <x:f t="shared" si="12"/>
      </x:c>
      <x:c r="Q95" s="3"/>
      <x:c r="R95" s="3" t="str">
        <x:f t="shared" si="13"/>
      </x:c>
      <x:c r="U95" t="str">
        <x:f t="shared" si="14"/>
        <x:v>Sem data</x:v>
      </x:c>
      <x:c r="X95" s="2">
        <x:v>51482</x:v>
      </x:c>
      <x:c r="BE95" t="str"/>
    </x:row>
    <x:row r="96">
      <x:c r="B96" t="str">
        <x:f>_xlfn.XLOOKUP(TabelaAtivos[[#This Row],[Ambiente]],TabelaAmbientes[Ambiente],TabelaAmbientes[Cod_ambiente],"",0,1)</x:f>
      </x:c>
      <x:c r="D96" t="str">
        <x:f>_xlfn.XLOOKUP(TabelaAtivos[[#This Row],[Ambiente]],TabelaAmbientes[Ambiente],TabelaAmbientes[Zona],"",0,1)</x:f>
      </x:c>
      <x:c r="M96" s="2"/>
      <x:c r="N96" s="2" t="str">
        <x:f t="shared" si="10"/>
      </x:c>
      <x:c r="O96" t="str">
        <x:f t="shared" si="11"/>
      </x:c>
      <x:c r="P96" t="str">
        <x:f t="shared" si="12"/>
      </x:c>
      <x:c r="Q96" s="3"/>
      <x:c r="R96" s="3" t="str">
        <x:f t="shared" si="13"/>
      </x:c>
      <x:c r="U96" t="str">
        <x:f t="shared" si="14"/>
        <x:v>Sem data</x:v>
      </x:c>
      <x:c r="X96" s="2">
        <x:v>51482</x:v>
      </x:c>
      <x:c r="BE96" t="str"/>
    </x:row>
    <x:row r="97">
      <x:c r="B97" t="str">
        <x:f>_xlfn.XLOOKUP(TabelaAtivos[[#This Row],[Ambiente]],TabelaAmbientes[Ambiente],TabelaAmbientes[Cod_ambiente],"",0,1)</x:f>
      </x:c>
      <x:c r="D97" t="str">
        <x:f>_xlfn.XLOOKUP(TabelaAtivos[[#This Row],[Ambiente]],TabelaAmbientes[Ambiente],TabelaAmbientes[Zona],"",0,1)</x:f>
      </x:c>
      <x:c r="M97" s="2"/>
      <x:c r="N97" s="2" t="str">
        <x:f t="shared" si="10"/>
      </x:c>
      <x:c r="O97" t="str">
        <x:f t="shared" si="11"/>
      </x:c>
      <x:c r="P97" t="str">
        <x:f t="shared" si="12"/>
      </x:c>
      <x:c r="Q97" s="3"/>
      <x:c r="R97" s="3" t="str">
        <x:f t="shared" si="13"/>
      </x:c>
      <x:c r="U97" t="str">
        <x:f t="shared" si="14"/>
        <x:v>Sem data</x:v>
      </x:c>
      <x:c r="X97" s="2">
        <x:v>51482</x:v>
      </x:c>
      <x:c r="BE97" t="str"/>
    </x:row>
    <x:row r="98">
      <x:c r="B98" t="str">
        <x:f>_xlfn.XLOOKUP(TabelaAtivos[[#This Row],[Ambiente]],TabelaAmbientes[Ambiente],TabelaAmbientes[Cod_ambiente],"",0,1)</x:f>
      </x:c>
      <x:c r="D98" t="str">
        <x:f>_xlfn.XLOOKUP(TabelaAtivos[[#This Row],[Ambiente]],TabelaAmbientes[Ambiente],TabelaAmbientes[Zona],"",0,1)</x:f>
      </x:c>
      <x:c r="M98" s="2"/>
      <x:c r="N98" s="2" t="str">
        <x:f t="shared" ref="N98:N129" si="15">IF(M98="","",EDATE(M98,L98))</x:f>
      </x:c>
      <x:c r="O98" t="str">
        <x:f t="shared" ref="O98:O129" si="16">IF(N98="","",YEAR(N98))</x:f>
      </x:c>
      <x:c r="P98" t="str">
        <x:f t="shared" ref="P98:P129" si="17">IF(N98="","",TEXT(N98,"mmm"))</x:f>
      </x:c>
      <x:c r="Q98" s="3"/>
      <x:c r="R98" s="3" t="str">
        <x:f t="shared" ref="R98:R129" si="18">IF(OR(J98="",Q98=""),"",J98*Q98)</x:f>
      </x:c>
      <x:c r="U98" t="str">
        <x:f t="shared" ref="U98:U129" si="19">IF(N98="","Sem data",IF(N98&lt;TODAY(),"Vencido",IF(N98&lt;=TODAY()+30,"Próx. 30 dias",IF(N98&lt;=TODAY()+90,"Próx. 90 dias","Programado"))))</x:f>
        <x:v>Sem data</x:v>
      </x:c>
      <x:c r="X98" s="2">
        <x:v>51482</x:v>
      </x:c>
      <x:c r="BE98" t="str"/>
    </x:row>
    <x:row r="99">
      <x:c r="B99" t="str">
        <x:f>_xlfn.XLOOKUP(TabelaAtivos[[#This Row],[Ambiente]],TabelaAmbientes[Ambiente],TabelaAmbientes[Cod_ambiente],"",0,1)</x:f>
      </x:c>
      <x:c r="D99" t="str">
        <x:f>_xlfn.XLOOKUP(TabelaAtivos[[#This Row],[Ambiente]],TabelaAmbientes[Ambiente],TabelaAmbientes[Zona],"",0,1)</x:f>
      </x:c>
      <x:c r="M99" s="2"/>
      <x:c r="N99" s="2" t="str">
        <x:f t="shared" si="15"/>
      </x:c>
      <x:c r="O99" t="str">
        <x:f t="shared" si="16"/>
      </x:c>
      <x:c r="P99" t="str">
        <x:f t="shared" si="17"/>
      </x:c>
      <x:c r="Q99" s="3"/>
      <x:c r="R99" s="3" t="str">
        <x:f t="shared" si="18"/>
      </x:c>
      <x:c r="U99" t="str">
        <x:f t="shared" si="19"/>
        <x:v>Sem data</x:v>
      </x:c>
      <x:c r="X99" s="2">
        <x:v>51482</x:v>
      </x:c>
      <x:c r="BE99" t="str"/>
    </x:row>
    <x:row r="100">
      <x:c r="B100" t="str">
        <x:f>_xlfn.XLOOKUP(TabelaAtivos[[#This Row],[Ambiente]],TabelaAmbientes[Ambiente],TabelaAmbientes[Cod_ambiente],"",0,1)</x:f>
      </x:c>
      <x:c r="D100" t="str">
        <x:f>_xlfn.XLOOKUP(TabelaAtivos[[#This Row],[Ambiente]],TabelaAmbientes[Ambiente],TabelaAmbientes[Zona],"",0,1)</x:f>
      </x:c>
      <x:c r="M100" s="2"/>
      <x:c r="N100" s="2" t="str">
        <x:f t="shared" si="15"/>
      </x:c>
      <x:c r="O100" t="str">
        <x:f t="shared" si="16"/>
      </x:c>
      <x:c r="P100" t="str">
        <x:f t="shared" si="17"/>
      </x:c>
      <x:c r="Q100" s="3"/>
      <x:c r="R100" s="3" t="str">
        <x:f t="shared" si="18"/>
      </x:c>
      <x:c r="U100" t="str">
        <x:f t="shared" si="19"/>
        <x:v>Sem data</x:v>
      </x:c>
      <x:c r="X100" s="2">
        <x:v>51482</x:v>
      </x:c>
      <x:c r="BE100" t="str"/>
    </x:row>
    <x:row r="101">
      <x:c r="B101" t="str">
        <x:f>_xlfn.XLOOKUP(TabelaAtivos[[#This Row],[Ambiente]],TabelaAmbientes[Ambiente],TabelaAmbientes[Cod_ambiente],"",0,1)</x:f>
      </x:c>
      <x:c r="D101" t="str">
        <x:f>_xlfn.XLOOKUP(TabelaAtivos[[#This Row],[Ambiente]],TabelaAmbientes[Ambiente],TabelaAmbientes[Zona],"",0,1)</x:f>
      </x:c>
      <x:c r="M101" s="2"/>
      <x:c r="N101" s="2" t="str">
        <x:f t="shared" si="15"/>
      </x:c>
      <x:c r="O101" t="str">
        <x:f t="shared" si="16"/>
      </x:c>
      <x:c r="P101" t="str">
        <x:f t="shared" si="17"/>
      </x:c>
      <x:c r="Q101" s="3"/>
      <x:c r="R101" s="3" t="str">
        <x:f t="shared" si="18"/>
      </x:c>
      <x:c r="U101" t="str">
        <x:f t="shared" si="19"/>
        <x:v>Sem data</x:v>
      </x:c>
      <x:c r="X101" s="2">
        <x:v>51482</x:v>
      </x:c>
      <x:c r="BE101" t="str"/>
    </x:row>
    <x:row r="102">
      <x:c r="B102" t="str">
        <x:f>_xlfn.XLOOKUP(TabelaAtivos[[#This Row],[Ambiente]],TabelaAmbientes[Ambiente],TabelaAmbientes[Cod_ambiente],"",0,1)</x:f>
      </x:c>
      <x:c r="D102" t="str">
        <x:f>_xlfn.XLOOKUP(TabelaAtivos[[#This Row],[Ambiente]],TabelaAmbientes[Ambiente],TabelaAmbientes[Zona],"",0,1)</x:f>
      </x:c>
      <x:c r="M102" s="2"/>
      <x:c r="N102" s="2" t="str">
        <x:f t="shared" si="15"/>
      </x:c>
      <x:c r="O102" t="str">
        <x:f t="shared" si="16"/>
      </x:c>
      <x:c r="P102" t="str">
        <x:f t="shared" si="17"/>
      </x:c>
      <x:c r="Q102" s="3"/>
      <x:c r="R102" s="3" t="str">
        <x:f t="shared" si="18"/>
      </x:c>
      <x:c r="U102" t="str">
        <x:f t="shared" si="19"/>
        <x:v>Sem data</x:v>
      </x:c>
      <x:c r="X102" s="2">
        <x:v>51482</x:v>
      </x:c>
      <x:c r="BE102" t="str"/>
    </x:row>
    <x:row r="103">
      <x:c r="B103" t="str">
        <x:f>_xlfn.XLOOKUP(TabelaAtivos[[#This Row],[Ambiente]],TabelaAmbientes[Ambiente],TabelaAmbientes[Cod_ambiente],"",0,1)</x:f>
      </x:c>
      <x:c r="D103" t="str">
        <x:f>_xlfn.XLOOKUP(TabelaAtivos[[#This Row],[Ambiente]],TabelaAmbientes[Ambiente],TabelaAmbientes[Zona],"",0,1)</x:f>
      </x:c>
      <x:c r="M103" s="2"/>
      <x:c r="N103" s="2" t="str">
        <x:f t="shared" si="15"/>
      </x:c>
      <x:c r="O103" t="str">
        <x:f t="shared" si="16"/>
      </x:c>
      <x:c r="P103" t="str">
        <x:f t="shared" si="17"/>
      </x:c>
      <x:c r="Q103" s="3"/>
      <x:c r="R103" s="3" t="str">
        <x:f t="shared" si="18"/>
      </x:c>
      <x:c r="U103" t="str">
        <x:f t="shared" si="19"/>
        <x:v>Sem data</x:v>
      </x:c>
      <x:c r="X103" s="2">
        <x:v>51482</x:v>
      </x:c>
      <x:c r="BE103" t="str"/>
    </x:row>
    <x:row r="104">
      <x:c r="B104" t="str">
        <x:f>_xlfn.XLOOKUP(TabelaAtivos[[#This Row],[Ambiente]],TabelaAmbientes[Ambiente],TabelaAmbientes[Cod_ambiente],"",0,1)</x:f>
      </x:c>
      <x:c r="D104" t="str">
        <x:f>_xlfn.XLOOKUP(TabelaAtivos[[#This Row],[Ambiente]],TabelaAmbientes[Ambiente],TabelaAmbientes[Zona],"",0,1)</x:f>
      </x:c>
      <x:c r="M104" s="2"/>
      <x:c r="N104" s="2" t="str">
        <x:f t="shared" si="15"/>
      </x:c>
      <x:c r="O104" t="str">
        <x:f t="shared" si="16"/>
      </x:c>
      <x:c r="P104" t="str">
        <x:f t="shared" si="17"/>
      </x:c>
      <x:c r="Q104" s="3"/>
      <x:c r="R104" s="3" t="str">
        <x:f t="shared" si="18"/>
      </x:c>
      <x:c r="U104" t="str">
        <x:f t="shared" si="19"/>
        <x:v>Sem data</x:v>
      </x:c>
      <x:c r="X104" s="2">
        <x:v>51482</x:v>
      </x:c>
      <x:c r="BE104" t="str"/>
    </x:row>
    <x:row r="105">
      <x:c r="B105" t="str">
        <x:f>_xlfn.XLOOKUP(TabelaAtivos[[#This Row],[Ambiente]],TabelaAmbientes[Ambiente],TabelaAmbientes[Cod_ambiente],"",0,1)</x:f>
      </x:c>
      <x:c r="D105" t="str">
        <x:f>_xlfn.XLOOKUP(TabelaAtivos[[#This Row],[Ambiente]],TabelaAmbientes[Ambiente],TabelaAmbientes[Zona],"",0,1)</x:f>
      </x:c>
      <x:c r="M105" s="2"/>
      <x:c r="N105" s="2" t="str">
        <x:f t="shared" si="15"/>
      </x:c>
      <x:c r="O105" t="str">
        <x:f t="shared" si="16"/>
      </x:c>
      <x:c r="P105" t="str">
        <x:f t="shared" si="17"/>
      </x:c>
      <x:c r="Q105" s="3"/>
      <x:c r="R105" s="3" t="str">
        <x:f t="shared" si="18"/>
      </x:c>
      <x:c r="U105" t="str">
        <x:f t="shared" si="19"/>
        <x:v>Sem data</x:v>
      </x:c>
      <x:c r="X105" s="2">
        <x:v>51482</x:v>
      </x:c>
      <x:c r="BE105" t="str"/>
    </x:row>
    <x:row r="106">
      <x:c r="B106" t="str">
        <x:f>_xlfn.XLOOKUP(TabelaAtivos[[#This Row],[Ambiente]],TabelaAmbientes[Ambiente],TabelaAmbientes[Cod_ambiente],"",0,1)</x:f>
      </x:c>
      <x:c r="D106" t="str">
        <x:f>_xlfn.XLOOKUP(TabelaAtivos[[#This Row],[Ambiente]],TabelaAmbientes[Ambiente],TabelaAmbientes[Zona],"",0,1)</x:f>
      </x:c>
      <x:c r="M106" s="2"/>
      <x:c r="N106" s="2" t="str">
        <x:f t="shared" si="15"/>
      </x:c>
      <x:c r="O106" t="str">
        <x:f t="shared" si="16"/>
      </x:c>
      <x:c r="P106" t="str">
        <x:f t="shared" si="17"/>
      </x:c>
      <x:c r="Q106" s="3"/>
      <x:c r="R106" s="3" t="str">
        <x:f t="shared" si="18"/>
      </x:c>
      <x:c r="U106" t="str">
        <x:f t="shared" si="19"/>
        <x:v>Sem data</x:v>
      </x:c>
      <x:c r="X106" s="2">
        <x:v>51482</x:v>
      </x:c>
      <x:c r="BE106" t="str"/>
    </x:row>
    <x:row r="107">
      <x:c r="B107" t="str">
        <x:f>_xlfn.XLOOKUP(TabelaAtivos[[#This Row],[Ambiente]],TabelaAmbientes[Ambiente],TabelaAmbientes[Cod_ambiente],"",0,1)</x:f>
      </x:c>
      <x:c r="D107" t="str">
        <x:f>_xlfn.XLOOKUP(TabelaAtivos[[#This Row],[Ambiente]],TabelaAmbientes[Ambiente],TabelaAmbientes[Zona],"",0,1)</x:f>
      </x:c>
      <x:c r="M107" s="2"/>
      <x:c r="N107" s="2" t="str">
        <x:f t="shared" si="15"/>
      </x:c>
      <x:c r="O107" t="str">
        <x:f t="shared" si="16"/>
      </x:c>
      <x:c r="P107" t="str">
        <x:f t="shared" si="17"/>
      </x:c>
      <x:c r="Q107" s="3"/>
      <x:c r="R107" s="3" t="str">
        <x:f t="shared" si="18"/>
      </x:c>
      <x:c r="U107" t="str">
        <x:f t="shared" si="19"/>
        <x:v>Sem data</x:v>
      </x:c>
      <x:c r="X107" s="2">
        <x:v>51482</x:v>
      </x:c>
      <x:c r="BE107" t="str"/>
    </x:row>
    <x:row r="108">
      <x:c r="B108" t="str">
        <x:f>_xlfn.XLOOKUP(TabelaAtivos[[#This Row],[Ambiente]],TabelaAmbientes[Ambiente],TabelaAmbientes[Cod_ambiente],"",0,1)</x:f>
      </x:c>
      <x:c r="D108" t="str">
        <x:f>_xlfn.XLOOKUP(TabelaAtivos[[#This Row],[Ambiente]],TabelaAmbientes[Ambiente],TabelaAmbientes[Zona],"",0,1)</x:f>
      </x:c>
      <x:c r="M108" s="2"/>
      <x:c r="N108" s="2" t="str">
        <x:f t="shared" si="15"/>
      </x:c>
      <x:c r="O108" t="str">
        <x:f t="shared" si="16"/>
      </x:c>
      <x:c r="P108" t="str">
        <x:f t="shared" si="17"/>
      </x:c>
      <x:c r="Q108" s="3"/>
      <x:c r="R108" s="3" t="str">
        <x:f t="shared" si="18"/>
      </x:c>
      <x:c r="U108" t="str">
        <x:f t="shared" si="19"/>
        <x:v>Sem data</x:v>
      </x:c>
      <x:c r="X108" s="2">
        <x:v>51482</x:v>
      </x:c>
      <x:c r="BE108" t="str"/>
    </x:row>
    <x:row r="109">
      <x:c r="B109" t="str">
        <x:f>_xlfn.XLOOKUP(TabelaAtivos[[#This Row],[Ambiente]],TabelaAmbientes[Ambiente],TabelaAmbientes[Cod_ambiente],"",0,1)</x:f>
      </x:c>
      <x:c r="D109" t="str">
        <x:f>_xlfn.XLOOKUP(TabelaAtivos[[#This Row],[Ambiente]],TabelaAmbientes[Ambiente],TabelaAmbientes[Zona],"",0,1)</x:f>
      </x:c>
      <x:c r="M109" s="2"/>
      <x:c r="N109" s="2" t="str">
        <x:f t="shared" si="15"/>
      </x:c>
      <x:c r="O109" t="str">
        <x:f t="shared" si="16"/>
      </x:c>
      <x:c r="P109" t="str">
        <x:f t="shared" si="17"/>
      </x:c>
      <x:c r="Q109" s="3"/>
      <x:c r="R109" s="3" t="str">
        <x:f t="shared" si="18"/>
      </x:c>
      <x:c r="U109" t="str">
        <x:f t="shared" si="19"/>
        <x:v>Sem data</x:v>
      </x:c>
      <x:c r="X109" s="2">
        <x:v>51482</x:v>
      </x:c>
      <x:c r="BE109" t="str"/>
    </x:row>
    <x:row r="110">
      <x:c r="B110" t="str">
        <x:f>_xlfn.XLOOKUP(TabelaAtivos[[#This Row],[Ambiente]],TabelaAmbientes[Ambiente],TabelaAmbientes[Cod_ambiente],"",0,1)</x:f>
      </x:c>
      <x:c r="D110" t="str">
        <x:f>_xlfn.XLOOKUP(TabelaAtivos[[#This Row],[Ambiente]],TabelaAmbientes[Ambiente],TabelaAmbientes[Zona],"",0,1)</x:f>
      </x:c>
      <x:c r="M110" s="2"/>
      <x:c r="N110" s="2" t="str">
        <x:f t="shared" si="15"/>
      </x:c>
      <x:c r="O110" t="str">
        <x:f t="shared" si="16"/>
      </x:c>
      <x:c r="P110" t="str">
        <x:f t="shared" si="17"/>
      </x:c>
      <x:c r="Q110" s="3"/>
      <x:c r="R110" s="3" t="str">
        <x:f t="shared" si="18"/>
      </x:c>
      <x:c r="U110" t="str">
        <x:f t="shared" si="19"/>
        <x:v>Sem data</x:v>
      </x:c>
      <x:c r="X110" s="2">
        <x:v>51482</x:v>
      </x:c>
      <x:c r="BE110" t="str"/>
    </x:row>
    <x:row r="111">
      <x:c r="B111" t="str">
        <x:f>_xlfn.XLOOKUP(TabelaAtivos[[#This Row],[Ambiente]],TabelaAmbientes[Ambiente],TabelaAmbientes[Cod_ambiente],"",0,1)</x:f>
      </x:c>
      <x:c r="D111" t="str">
        <x:f>_xlfn.XLOOKUP(TabelaAtivos[[#This Row],[Ambiente]],TabelaAmbientes[Ambiente],TabelaAmbientes[Zona],"",0,1)</x:f>
      </x:c>
      <x:c r="M111" s="2"/>
      <x:c r="N111" s="2" t="str">
        <x:f t="shared" si="15"/>
      </x:c>
      <x:c r="O111" t="str">
        <x:f t="shared" si="16"/>
      </x:c>
      <x:c r="P111" t="str">
        <x:f t="shared" si="17"/>
      </x:c>
      <x:c r="Q111" s="3"/>
      <x:c r="R111" s="3" t="str">
        <x:f t="shared" si="18"/>
      </x:c>
      <x:c r="U111" t="str">
        <x:f t="shared" si="19"/>
        <x:v>Sem data</x:v>
      </x:c>
      <x:c r="X111" s="2">
        <x:v>51482</x:v>
      </x:c>
      <x:c r="BE111" t="str"/>
    </x:row>
    <x:row r="112">
      <x:c r="B112" t="str">
        <x:f>_xlfn.XLOOKUP(TabelaAtivos[[#This Row],[Ambiente]],TabelaAmbientes[Ambiente],TabelaAmbientes[Cod_ambiente],"",0,1)</x:f>
      </x:c>
      <x:c r="D112" t="str">
        <x:f>_xlfn.XLOOKUP(TabelaAtivos[[#This Row],[Ambiente]],TabelaAmbientes[Ambiente],TabelaAmbientes[Zona],"",0,1)</x:f>
      </x:c>
      <x:c r="M112" s="2"/>
      <x:c r="N112" s="2" t="str">
        <x:f t="shared" si="15"/>
      </x:c>
      <x:c r="O112" t="str">
        <x:f t="shared" si="16"/>
      </x:c>
      <x:c r="P112" t="str">
        <x:f t="shared" si="17"/>
      </x:c>
      <x:c r="Q112" s="3"/>
      <x:c r="R112" s="3" t="str">
        <x:f t="shared" si="18"/>
      </x:c>
      <x:c r="U112" t="str">
        <x:f t="shared" si="19"/>
        <x:v>Sem data</x:v>
      </x:c>
      <x:c r="X112" s="2">
        <x:v>51482</x:v>
      </x:c>
      <x:c r="BE112" t="str"/>
    </x:row>
    <x:row r="113">
      <x:c r="B113" t="str">
        <x:f>_xlfn.XLOOKUP(TabelaAtivos[[#This Row],[Ambiente]],TabelaAmbientes[Ambiente],TabelaAmbientes[Cod_ambiente],"",0,1)</x:f>
      </x:c>
      <x:c r="D113" t="str">
        <x:f>_xlfn.XLOOKUP(TabelaAtivos[[#This Row],[Ambiente]],TabelaAmbientes[Ambiente],TabelaAmbientes[Zona],"",0,1)</x:f>
      </x:c>
      <x:c r="M113" s="2"/>
      <x:c r="N113" s="2" t="str">
        <x:f t="shared" si="15"/>
      </x:c>
      <x:c r="O113" t="str">
        <x:f t="shared" si="16"/>
      </x:c>
      <x:c r="P113" t="str">
        <x:f t="shared" si="17"/>
      </x:c>
      <x:c r="Q113" s="3"/>
      <x:c r="R113" s="3" t="str">
        <x:f t="shared" si="18"/>
      </x:c>
      <x:c r="U113" t="str">
        <x:f t="shared" si="19"/>
        <x:v>Sem data</x:v>
      </x:c>
      <x:c r="X113" s="2">
        <x:v>51482</x:v>
      </x:c>
      <x:c r="BE113" t="str"/>
    </x:row>
    <x:row r="114">
      <x:c r="B114" t="str">
        <x:f>_xlfn.XLOOKUP(TabelaAtivos[[#This Row],[Ambiente]],TabelaAmbientes[Ambiente],TabelaAmbientes[Cod_ambiente],"",0,1)</x:f>
      </x:c>
      <x:c r="D114" t="str">
        <x:f>_xlfn.XLOOKUP(TabelaAtivos[[#This Row],[Ambiente]],TabelaAmbientes[Ambiente],TabelaAmbientes[Zona],"",0,1)</x:f>
      </x:c>
      <x:c r="M114" s="2"/>
      <x:c r="N114" s="2" t="str">
        <x:f t="shared" si="15"/>
      </x:c>
      <x:c r="O114" t="str">
        <x:f t="shared" si="16"/>
      </x:c>
      <x:c r="P114" t="str">
        <x:f t="shared" si="17"/>
      </x:c>
      <x:c r="Q114" s="3"/>
      <x:c r="R114" s="3" t="str">
        <x:f t="shared" si="18"/>
      </x:c>
      <x:c r="U114" t="str">
        <x:f t="shared" si="19"/>
        <x:v>Sem data</x:v>
      </x:c>
      <x:c r="X114" s="2">
        <x:v>51482</x:v>
      </x:c>
      <x:c r="BE114" t="str"/>
    </x:row>
    <x:row r="115">
      <x:c r="B115" t="str">
        <x:f>_xlfn.XLOOKUP(TabelaAtivos[[#This Row],[Ambiente]],TabelaAmbientes[Ambiente],TabelaAmbientes[Cod_ambiente],"",0,1)</x:f>
      </x:c>
      <x:c r="D115" t="str">
        <x:f>_xlfn.XLOOKUP(TabelaAtivos[[#This Row],[Ambiente]],TabelaAmbientes[Ambiente],TabelaAmbientes[Zona],"",0,1)</x:f>
      </x:c>
      <x:c r="M115" s="2"/>
      <x:c r="N115" s="2" t="str">
        <x:f t="shared" si="15"/>
      </x:c>
      <x:c r="O115" t="str">
        <x:f t="shared" si="16"/>
      </x:c>
      <x:c r="P115" t="str">
        <x:f t="shared" si="17"/>
      </x:c>
      <x:c r="Q115" s="3"/>
      <x:c r="R115" s="3" t="str">
        <x:f t="shared" si="18"/>
      </x:c>
      <x:c r="U115" t="str">
        <x:f t="shared" si="19"/>
        <x:v>Sem data</x:v>
      </x:c>
      <x:c r="X115" s="2">
        <x:v>51482</x:v>
      </x:c>
      <x:c r="BE115" t="str"/>
    </x:row>
    <x:row r="116">
      <x:c r="B116" t="str">
        <x:f>_xlfn.XLOOKUP(TabelaAtivos[[#This Row],[Ambiente]],TabelaAmbientes[Ambiente],TabelaAmbientes[Cod_ambiente],"",0,1)</x:f>
      </x:c>
      <x:c r="D116" t="str">
        <x:f>_xlfn.XLOOKUP(TabelaAtivos[[#This Row],[Ambiente]],TabelaAmbientes[Ambiente],TabelaAmbientes[Zona],"",0,1)</x:f>
      </x:c>
      <x:c r="M116" s="2"/>
      <x:c r="N116" s="2" t="str">
        <x:f t="shared" si="15"/>
      </x:c>
      <x:c r="O116" t="str">
        <x:f t="shared" si="16"/>
      </x:c>
      <x:c r="P116" t="str">
        <x:f t="shared" si="17"/>
      </x:c>
      <x:c r="Q116" s="3"/>
      <x:c r="R116" s="3" t="str">
        <x:f t="shared" si="18"/>
      </x:c>
      <x:c r="U116" t="str">
        <x:f t="shared" si="19"/>
        <x:v>Sem data</x:v>
      </x:c>
      <x:c r="X116" s="2">
        <x:v>51482</x:v>
      </x:c>
      <x:c r="BE116" t="str"/>
    </x:row>
    <x:row r="117">
      <x:c r="B117" t="str">
        <x:f>_xlfn.XLOOKUP(TabelaAtivos[[#This Row],[Ambiente]],TabelaAmbientes[Ambiente],TabelaAmbientes[Cod_ambiente],"",0,1)</x:f>
      </x:c>
      <x:c r="D117" t="str">
        <x:f>_xlfn.XLOOKUP(TabelaAtivos[[#This Row],[Ambiente]],TabelaAmbientes[Ambiente],TabelaAmbientes[Zona],"",0,1)</x:f>
      </x:c>
      <x:c r="M117" s="2"/>
      <x:c r="N117" s="2" t="str">
        <x:f t="shared" si="15"/>
      </x:c>
      <x:c r="O117" t="str">
        <x:f t="shared" si="16"/>
      </x:c>
      <x:c r="P117" t="str">
        <x:f t="shared" si="17"/>
      </x:c>
      <x:c r="Q117" s="3"/>
      <x:c r="R117" s="3" t="str">
        <x:f t="shared" si="18"/>
      </x:c>
      <x:c r="U117" t="str">
        <x:f t="shared" si="19"/>
        <x:v>Sem data</x:v>
      </x:c>
      <x:c r="X117" s="2">
        <x:v>51482</x:v>
      </x:c>
      <x:c r="BE117" t="str"/>
    </x:row>
    <x:row r="118">
      <x:c r="B118" t="str">
        <x:f>_xlfn.XLOOKUP(TabelaAtivos[[#This Row],[Ambiente]],TabelaAmbientes[Ambiente],TabelaAmbientes[Cod_ambiente],"",0,1)</x:f>
      </x:c>
      <x:c r="D118" t="str">
        <x:f>_xlfn.XLOOKUP(TabelaAtivos[[#This Row],[Ambiente]],TabelaAmbientes[Ambiente],TabelaAmbientes[Zona],"",0,1)</x:f>
      </x:c>
      <x:c r="M118" s="2"/>
      <x:c r="N118" s="2" t="str">
        <x:f t="shared" si="15"/>
      </x:c>
      <x:c r="O118" t="str">
        <x:f t="shared" si="16"/>
      </x:c>
      <x:c r="P118" t="str">
        <x:f t="shared" si="17"/>
      </x:c>
      <x:c r="Q118" s="3"/>
      <x:c r="R118" s="3" t="str">
        <x:f t="shared" si="18"/>
      </x:c>
      <x:c r="U118" t="str">
        <x:f t="shared" si="19"/>
        <x:v>Sem data</x:v>
      </x:c>
      <x:c r="X118" s="2">
        <x:v>51482</x:v>
      </x:c>
      <x:c r="BE118" t="str"/>
    </x:row>
    <x:row r="119">
      <x:c r="B119" t="str">
        <x:f>_xlfn.XLOOKUP(TabelaAtivos[[#This Row],[Ambiente]],TabelaAmbientes[Ambiente],TabelaAmbientes[Cod_ambiente],"",0,1)</x:f>
      </x:c>
      <x:c r="D119" t="str">
        <x:f>_xlfn.XLOOKUP(TabelaAtivos[[#This Row],[Ambiente]],TabelaAmbientes[Ambiente],TabelaAmbientes[Zona],"",0,1)</x:f>
      </x:c>
      <x:c r="M119" s="2"/>
      <x:c r="N119" s="2" t="str">
        <x:f t="shared" si="15"/>
      </x:c>
      <x:c r="O119" t="str">
        <x:f t="shared" si="16"/>
      </x:c>
      <x:c r="P119" t="str">
        <x:f t="shared" si="17"/>
      </x:c>
      <x:c r="Q119" s="3"/>
      <x:c r="R119" s="3" t="str">
        <x:f t="shared" si="18"/>
      </x:c>
      <x:c r="U119" t="str">
        <x:f t="shared" si="19"/>
        <x:v>Sem data</x:v>
      </x:c>
      <x:c r="X119" s="2">
        <x:v>51482</x:v>
      </x:c>
      <x:c r="BE119" t="str"/>
    </x:row>
    <x:row r="120">
      <x:c r="B120" t="str">
        <x:f>_xlfn.XLOOKUP(TabelaAtivos[[#This Row],[Ambiente]],TabelaAmbientes[Ambiente],TabelaAmbientes[Cod_ambiente],"",0,1)</x:f>
      </x:c>
      <x:c r="D120" t="str">
        <x:f>_xlfn.XLOOKUP(TabelaAtivos[[#This Row],[Ambiente]],TabelaAmbientes[Ambiente],TabelaAmbientes[Zona],"",0,1)</x:f>
      </x:c>
      <x:c r="M120" s="2"/>
      <x:c r="N120" s="2" t="str">
        <x:f t="shared" si="15"/>
      </x:c>
      <x:c r="O120" t="str">
        <x:f t="shared" si="16"/>
      </x:c>
      <x:c r="P120" t="str">
        <x:f t="shared" si="17"/>
      </x:c>
      <x:c r="Q120" s="3"/>
      <x:c r="R120" s="3" t="str">
        <x:f t="shared" si="18"/>
      </x:c>
      <x:c r="U120" t="str">
        <x:f t="shared" si="19"/>
        <x:v>Sem data</x:v>
      </x:c>
      <x:c r="X120" s="2">
        <x:v>51482</x:v>
      </x:c>
      <x:c r="BE120" t="str"/>
    </x:row>
    <x:row r="121">
      <x:c r="B121" t="str">
        <x:f>_xlfn.XLOOKUP(TabelaAtivos[[#This Row],[Ambiente]],TabelaAmbientes[Ambiente],TabelaAmbientes[Cod_ambiente],"",0,1)</x:f>
      </x:c>
      <x:c r="D121" t="str">
        <x:f>_xlfn.XLOOKUP(TabelaAtivos[[#This Row],[Ambiente]],TabelaAmbientes[Ambiente],TabelaAmbientes[Zona],"",0,1)</x:f>
      </x:c>
      <x:c r="M121" s="2"/>
      <x:c r="N121" s="2" t="str">
        <x:f t="shared" si="15"/>
      </x:c>
      <x:c r="O121" t="str">
        <x:f t="shared" si="16"/>
      </x:c>
      <x:c r="P121" t="str">
        <x:f t="shared" si="17"/>
      </x:c>
      <x:c r="Q121" s="3"/>
      <x:c r="R121" s="3" t="str">
        <x:f t="shared" si="18"/>
      </x:c>
      <x:c r="U121" t="str">
        <x:f t="shared" si="19"/>
        <x:v>Sem data</x:v>
      </x:c>
      <x:c r="X121" s="2">
        <x:v>51482</x:v>
      </x:c>
      <x:c r="BE121" t="str"/>
    </x:row>
    <x:row r="122">
      <x:c r="B122" t="str">
        <x:f>_xlfn.XLOOKUP(TabelaAtivos[[#This Row],[Ambiente]],TabelaAmbientes[Ambiente],TabelaAmbientes[Cod_ambiente],"",0,1)</x:f>
      </x:c>
      <x:c r="D122" t="str">
        <x:f>_xlfn.XLOOKUP(TabelaAtivos[[#This Row],[Ambiente]],TabelaAmbientes[Ambiente],TabelaAmbientes[Zona],"",0,1)</x:f>
      </x:c>
      <x:c r="M122" s="2"/>
      <x:c r="N122" s="2" t="str">
        <x:f t="shared" si="15"/>
      </x:c>
      <x:c r="O122" t="str">
        <x:f t="shared" si="16"/>
      </x:c>
      <x:c r="P122" t="str">
        <x:f t="shared" si="17"/>
      </x:c>
      <x:c r="Q122" s="3"/>
      <x:c r="R122" s="3" t="str">
        <x:f t="shared" si="18"/>
      </x:c>
      <x:c r="U122" t="str">
        <x:f t="shared" si="19"/>
        <x:v>Sem data</x:v>
      </x:c>
      <x:c r="X122" s="2">
        <x:v>51482</x:v>
      </x:c>
      <x:c r="BE122" t="str"/>
    </x:row>
    <x:row r="123">
      <x:c r="B123" t="str">
        <x:f>_xlfn.XLOOKUP(TabelaAtivos[[#This Row],[Ambiente]],TabelaAmbientes[Ambiente],TabelaAmbientes[Cod_ambiente],"",0,1)</x:f>
      </x:c>
      <x:c r="D123" t="str">
        <x:f>_xlfn.XLOOKUP(TabelaAtivos[[#This Row],[Ambiente]],TabelaAmbientes[Ambiente],TabelaAmbientes[Zona],"",0,1)</x:f>
      </x:c>
      <x:c r="M123" s="2"/>
      <x:c r="N123" s="2" t="str">
        <x:f t="shared" si="15"/>
      </x:c>
      <x:c r="O123" t="str">
        <x:f t="shared" si="16"/>
      </x:c>
      <x:c r="P123" t="str">
        <x:f t="shared" si="17"/>
      </x:c>
      <x:c r="Q123" s="3"/>
      <x:c r="R123" s="3" t="str">
        <x:f t="shared" si="18"/>
      </x:c>
      <x:c r="U123" t="str">
        <x:f t="shared" si="19"/>
        <x:v>Sem data</x:v>
      </x:c>
      <x:c r="X123" s="2">
        <x:v>51482</x:v>
      </x:c>
      <x:c r="BE123" t="str"/>
    </x:row>
    <x:row r="124">
      <x:c r="B124" t="str">
        <x:f>_xlfn.XLOOKUP(TabelaAtivos[[#This Row],[Ambiente]],TabelaAmbientes[Ambiente],TabelaAmbientes[Cod_ambiente],"",0,1)</x:f>
      </x:c>
      <x:c r="D124" t="str">
        <x:f>_xlfn.XLOOKUP(TabelaAtivos[[#This Row],[Ambiente]],TabelaAmbientes[Ambiente],TabelaAmbientes[Zona],"",0,1)</x:f>
      </x:c>
      <x:c r="M124" s="2"/>
      <x:c r="N124" s="2" t="str">
        <x:f t="shared" si="15"/>
      </x:c>
      <x:c r="O124" t="str">
        <x:f t="shared" si="16"/>
      </x:c>
      <x:c r="P124" t="str">
        <x:f t="shared" si="17"/>
      </x:c>
      <x:c r="Q124" s="3"/>
      <x:c r="R124" s="3" t="str">
        <x:f t="shared" si="18"/>
      </x:c>
      <x:c r="U124" t="str">
        <x:f t="shared" si="19"/>
        <x:v>Sem data</x:v>
      </x:c>
      <x:c r="X124" s="2">
        <x:v>51482</x:v>
      </x:c>
      <x:c r="BE124" t="str"/>
    </x:row>
    <x:row r="125">
      <x:c r="B125" t="str">
        <x:f>_xlfn.XLOOKUP(TabelaAtivos[[#This Row],[Ambiente]],TabelaAmbientes[Ambiente],TabelaAmbientes[Cod_ambiente],"",0,1)</x:f>
      </x:c>
      <x:c r="D125" t="str">
        <x:f>_xlfn.XLOOKUP(TabelaAtivos[[#This Row],[Ambiente]],TabelaAmbientes[Ambiente],TabelaAmbientes[Zona],"",0,1)</x:f>
      </x:c>
      <x:c r="M125" s="2"/>
      <x:c r="N125" s="2" t="str">
        <x:f t="shared" si="15"/>
      </x:c>
      <x:c r="O125" t="str">
        <x:f t="shared" si="16"/>
      </x:c>
      <x:c r="P125" t="str">
        <x:f t="shared" si="17"/>
      </x:c>
      <x:c r="Q125" s="3"/>
      <x:c r="R125" s="3" t="str">
        <x:f t="shared" si="18"/>
      </x:c>
      <x:c r="U125" t="str">
        <x:f t="shared" si="19"/>
        <x:v>Sem data</x:v>
      </x:c>
      <x:c r="X125" s="2">
        <x:v>51482</x:v>
      </x:c>
      <x:c r="BE125" t="str"/>
    </x:row>
    <x:row r="126">
      <x:c r="B126" t="str">
        <x:f>_xlfn.XLOOKUP(TabelaAtivos[[#This Row],[Ambiente]],TabelaAmbientes[Ambiente],TabelaAmbientes[Cod_ambiente],"",0,1)</x:f>
      </x:c>
      <x:c r="D126" t="str">
        <x:f>_xlfn.XLOOKUP(TabelaAtivos[[#This Row],[Ambiente]],TabelaAmbientes[Ambiente],TabelaAmbientes[Zona],"",0,1)</x:f>
      </x:c>
      <x:c r="M126" s="2"/>
      <x:c r="N126" s="2" t="str">
        <x:f t="shared" si="15"/>
      </x:c>
      <x:c r="O126" t="str">
        <x:f t="shared" si="16"/>
      </x:c>
      <x:c r="P126" t="str">
        <x:f t="shared" si="17"/>
      </x:c>
      <x:c r="Q126" s="3"/>
      <x:c r="R126" s="3" t="str">
        <x:f t="shared" si="18"/>
      </x:c>
      <x:c r="U126" t="str">
        <x:f t="shared" si="19"/>
        <x:v>Sem data</x:v>
      </x:c>
      <x:c r="X126" s="2">
        <x:v>51482</x:v>
      </x:c>
      <x:c r="BE126" t="str"/>
    </x:row>
    <x:row r="127">
      <x:c r="B127" t="str">
        <x:f>_xlfn.XLOOKUP(TabelaAtivos[[#This Row],[Ambiente]],TabelaAmbientes[Ambiente],TabelaAmbientes[Cod_ambiente],"",0,1)</x:f>
      </x:c>
      <x:c r="D127" t="str">
        <x:f>_xlfn.XLOOKUP(TabelaAtivos[[#This Row],[Ambiente]],TabelaAmbientes[Ambiente],TabelaAmbientes[Zona],"",0,1)</x:f>
      </x:c>
      <x:c r="M127" s="2"/>
      <x:c r="N127" s="2" t="str">
        <x:f t="shared" si="15"/>
      </x:c>
      <x:c r="O127" t="str">
        <x:f t="shared" si="16"/>
      </x:c>
      <x:c r="P127" t="str">
        <x:f t="shared" si="17"/>
      </x:c>
      <x:c r="Q127" s="3"/>
      <x:c r="R127" s="3" t="str">
        <x:f t="shared" si="18"/>
      </x:c>
      <x:c r="U127" t="str">
        <x:f t="shared" si="19"/>
        <x:v>Sem data</x:v>
      </x:c>
      <x:c r="X127" s="2">
        <x:v>51482</x:v>
      </x:c>
      <x:c r="BE127" t="str"/>
    </x:row>
    <x:row r="128">
      <x:c r="B128" t="str">
        <x:f>_xlfn.XLOOKUP(TabelaAtivos[[#This Row],[Ambiente]],TabelaAmbientes[Ambiente],TabelaAmbientes[Cod_ambiente],"",0,1)</x:f>
      </x:c>
      <x:c r="D128" t="str">
        <x:f>_xlfn.XLOOKUP(TabelaAtivos[[#This Row],[Ambiente]],TabelaAmbientes[Ambiente],TabelaAmbientes[Zona],"",0,1)</x:f>
      </x:c>
      <x:c r="M128" s="2"/>
      <x:c r="N128" s="2" t="str">
        <x:f t="shared" si="15"/>
      </x:c>
      <x:c r="O128" t="str">
        <x:f t="shared" si="16"/>
      </x:c>
      <x:c r="P128" t="str">
        <x:f t="shared" si="17"/>
      </x:c>
      <x:c r="Q128" s="3"/>
      <x:c r="R128" s="3" t="str">
        <x:f t="shared" si="18"/>
      </x:c>
      <x:c r="U128" t="str">
        <x:f t="shared" si="19"/>
        <x:v>Sem data</x:v>
      </x:c>
      <x:c r="X128" s="2">
        <x:v>51482</x:v>
      </x:c>
      <x:c r="BE128" t="str"/>
    </x:row>
    <x:row r="129">
      <x:c r="B129" t="str">
        <x:f>_xlfn.XLOOKUP(TabelaAtivos[[#This Row],[Ambiente]],TabelaAmbientes[Ambiente],TabelaAmbientes[Cod_ambiente],"",0,1)</x:f>
      </x:c>
      <x:c r="D129" t="str">
        <x:f>_xlfn.XLOOKUP(TabelaAtivos[[#This Row],[Ambiente]],TabelaAmbientes[Ambiente],TabelaAmbientes[Zona],"",0,1)</x:f>
      </x:c>
      <x:c r="M129" s="2"/>
      <x:c r="N129" s="2" t="str">
        <x:f t="shared" si="15"/>
      </x:c>
      <x:c r="O129" t="str">
        <x:f t="shared" si="16"/>
      </x:c>
      <x:c r="P129" t="str">
        <x:f t="shared" si="17"/>
      </x:c>
      <x:c r="Q129" s="3"/>
      <x:c r="R129" s="3" t="str">
        <x:f t="shared" si="18"/>
      </x:c>
      <x:c r="U129" t="str">
        <x:f t="shared" si="19"/>
        <x:v>Sem data</x:v>
      </x:c>
      <x:c r="X129" s="2">
        <x:v>51482</x:v>
      </x:c>
      <x:c r="BE129" t="str"/>
    </x:row>
    <x:row r="130">
      <x:c r="B130" t="str">
        <x:f>_xlfn.XLOOKUP(TabelaAtivos[[#This Row],[Ambiente]],TabelaAmbientes[Ambiente],TabelaAmbientes[Cod_ambiente],"",0,1)</x:f>
      </x:c>
      <x:c r="D130" t="str">
        <x:f>_xlfn.XLOOKUP(TabelaAtivos[[#This Row],[Ambiente]],TabelaAmbientes[Ambiente],TabelaAmbientes[Zona],"",0,1)</x:f>
      </x:c>
      <x:c r="M130" s="2"/>
      <x:c r="N130" s="2" t="str">
        <x:f t="shared" ref="N130:N161" si="20">IF(M130="","",EDATE(M130,L130))</x:f>
      </x:c>
      <x:c r="O130" t="str">
        <x:f t="shared" ref="O130:O161" si="21">IF(N130="","",YEAR(N130))</x:f>
      </x:c>
      <x:c r="P130" t="str">
        <x:f t="shared" ref="P130:P161" si="22">IF(N130="","",TEXT(N130,"mmm"))</x:f>
      </x:c>
      <x:c r="Q130" s="3"/>
      <x:c r="R130" s="3" t="str">
        <x:f t="shared" ref="R130:R161" si="23">IF(OR(J130="",Q130=""),"",J130*Q130)</x:f>
      </x:c>
      <x:c r="U130" t="str">
        <x:f t="shared" ref="U130:U161" si="24">IF(N130="","Sem data",IF(N130&lt;TODAY(),"Vencido",IF(N130&lt;=TODAY()+30,"Próx. 30 dias",IF(N130&lt;=TODAY()+90,"Próx. 90 dias","Programado"))))</x:f>
        <x:v>Sem data</x:v>
      </x:c>
      <x:c r="X130" s="2">
        <x:v>51482</x:v>
      </x:c>
      <x:c r="BE130" t="str"/>
    </x:row>
    <x:row r="131">
      <x:c r="B131" t="str">
        <x:f>_xlfn.XLOOKUP(TabelaAtivos[[#This Row],[Ambiente]],TabelaAmbientes[Ambiente],TabelaAmbientes[Cod_ambiente],"",0,1)</x:f>
      </x:c>
      <x:c r="D131" t="str">
        <x:f>_xlfn.XLOOKUP(TabelaAtivos[[#This Row],[Ambiente]],TabelaAmbientes[Ambiente],TabelaAmbientes[Zona],"",0,1)</x:f>
      </x:c>
      <x:c r="M131" s="2"/>
      <x:c r="N131" s="2" t="str">
        <x:f t="shared" si="20"/>
      </x:c>
      <x:c r="O131" t="str">
        <x:f t="shared" si="21"/>
      </x:c>
      <x:c r="P131" t="str">
        <x:f t="shared" si="22"/>
      </x:c>
      <x:c r="Q131" s="3"/>
      <x:c r="R131" s="3" t="str">
        <x:f t="shared" si="23"/>
      </x:c>
      <x:c r="U131" t="str">
        <x:f t="shared" si="24"/>
        <x:v>Sem data</x:v>
      </x:c>
      <x:c r="X131" s="2">
        <x:v>51482</x:v>
      </x:c>
      <x:c r="BE131" t="str"/>
    </x:row>
    <x:row r="132">
      <x:c r="B132" t="str">
        <x:f>_xlfn.XLOOKUP(TabelaAtivos[[#This Row],[Ambiente]],TabelaAmbientes[Ambiente],TabelaAmbientes[Cod_ambiente],"",0,1)</x:f>
      </x:c>
      <x:c r="D132" t="str">
        <x:f>_xlfn.XLOOKUP(TabelaAtivos[[#This Row],[Ambiente]],TabelaAmbientes[Ambiente],TabelaAmbientes[Zona],"",0,1)</x:f>
      </x:c>
      <x:c r="M132" s="2"/>
      <x:c r="N132" s="2" t="str">
        <x:f t="shared" si="20"/>
      </x:c>
      <x:c r="O132" t="str">
        <x:f t="shared" si="21"/>
      </x:c>
      <x:c r="P132" t="str">
        <x:f t="shared" si="22"/>
      </x:c>
      <x:c r="Q132" s="3"/>
      <x:c r="R132" s="3" t="str">
        <x:f t="shared" si="23"/>
      </x:c>
      <x:c r="U132" t="str">
        <x:f t="shared" si="24"/>
        <x:v>Sem data</x:v>
      </x:c>
      <x:c r="X132" s="2">
        <x:v>51482</x:v>
      </x:c>
      <x:c r="BE132" t="str"/>
    </x:row>
    <x:row r="133">
      <x:c r="B133" t="str">
        <x:f>_xlfn.XLOOKUP(TabelaAtivos[[#This Row],[Ambiente]],TabelaAmbientes[Ambiente],TabelaAmbientes[Cod_ambiente],"",0,1)</x:f>
      </x:c>
      <x:c r="D133" t="str">
        <x:f>_xlfn.XLOOKUP(TabelaAtivos[[#This Row],[Ambiente]],TabelaAmbientes[Ambiente],TabelaAmbientes[Zona],"",0,1)</x:f>
      </x:c>
      <x:c r="M133" s="2"/>
      <x:c r="N133" s="2" t="str">
        <x:f t="shared" si="20"/>
      </x:c>
      <x:c r="O133" t="str">
        <x:f t="shared" si="21"/>
      </x:c>
      <x:c r="P133" t="str">
        <x:f t="shared" si="22"/>
      </x:c>
      <x:c r="Q133" s="3"/>
      <x:c r="R133" s="3" t="str">
        <x:f t="shared" si="23"/>
      </x:c>
      <x:c r="U133" t="str">
        <x:f t="shared" si="24"/>
        <x:v>Sem data</x:v>
      </x:c>
      <x:c r="X133" s="2">
        <x:v>51482</x:v>
      </x:c>
      <x:c r="BE133" t="str"/>
    </x:row>
    <x:row r="134">
      <x:c r="B134" t="str">
        <x:f>_xlfn.XLOOKUP(TabelaAtivos[[#This Row],[Ambiente]],TabelaAmbientes[Ambiente],TabelaAmbientes[Cod_ambiente],"",0,1)</x:f>
      </x:c>
      <x:c r="D134" t="str">
        <x:f>_xlfn.XLOOKUP(TabelaAtivos[[#This Row],[Ambiente]],TabelaAmbientes[Ambiente],TabelaAmbientes[Zona],"",0,1)</x:f>
      </x:c>
      <x:c r="M134" s="2"/>
      <x:c r="N134" s="2" t="str">
        <x:f t="shared" si="20"/>
      </x:c>
      <x:c r="O134" t="str">
        <x:f t="shared" si="21"/>
      </x:c>
      <x:c r="P134" t="str">
        <x:f t="shared" si="22"/>
      </x:c>
      <x:c r="Q134" s="3"/>
      <x:c r="R134" s="3" t="str">
        <x:f t="shared" si="23"/>
      </x:c>
      <x:c r="U134" t="str">
        <x:f t="shared" si="24"/>
        <x:v>Sem data</x:v>
      </x:c>
      <x:c r="X134" s="2">
        <x:v>51482</x:v>
      </x:c>
      <x:c r="BE134" t="str"/>
    </x:row>
    <x:row r="135">
      <x:c r="B135" t="str">
        <x:f>_xlfn.XLOOKUP(TabelaAtivos[[#This Row],[Ambiente]],TabelaAmbientes[Ambiente],TabelaAmbientes[Cod_ambiente],"",0,1)</x:f>
      </x:c>
      <x:c r="D135" t="str">
        <x:f>_xlfn.XLOOKUP(TabelaAtivos[[#This Row],[Ambiente]],TabelaAmbientes[Ambiente],TabelaAmbientes[Zona],"",0,1)</x:f>
      </x:c>
      <x:c r="M135" s="2"/>
      <x:c r="N135" s="2" t="str">
        <x:f t="shared" si="20"/>
      </x:c>
      <x:c r="O135" t="str">
        <x:f t="shared" si="21"/>
      </x:c>
      <x:c r="P135" t="str">
        <x:f t="shared" si="22"/>
      </x:c>
      <x:c r="Q135" s="3"/>
      <x:c r="R135" s="3" t="str">
        <x:f t="shared" si="23"/>
      </x:c>
      <x:c r="U135" t="str">
        <x:f t="shared" si="24"/>
        <x:v>Sem data</x:v>
      </x:c>
      <x:c r="X135" s="2">
        <x:v>51482</x:v>
      </x:c>
      <x:c r="BE135" t="str"/>
    </x:row>
    <x:row r="136">
      <x:c r="B136" t="str">
        <x:f>_xlfn.XLOOKUP(TabelaAtivos[[#This Row],[Ambiente]],TabelaAmbientes[Ambiente],TabelaAmbientes[Cod_ambiente],"",0,1)</x:f>
      </x:c>
      <x:c r="D136" t="str">
        <x:f>_xlfn.XLOOKUP(TabelaAtivos[[#This Row],[Ambiente]],TabelaAmbientes[Ambiente],TabelaAmbientes[Zona],"",0,1)</x:f>
      </x:c>
      <x:c r="M136" s="2"/>
      <x:c r="N136" s="2" t="str">
        <x:f t="shared" si="20"/>
      </x:c>
      <x:c r="O136" t="str">
        <x:f t="shared" si="21"/>
      </x:c>
      <x:c r="P136" t="str">
        <x:f t="shared" si="22"/>
      </x:c>
      <x:c r="Q136" s="3"/>
      <x:c r="R136" s="3" t="str">
        <x:f t="shared" si="23"/>
      </x:c>
      <x:c r="U136" t="str">
        <x:f t="shared" si="24"/>
        <x:v>Sem data</x:v>
      </x:c>
      <x:c r="X136" s="2">
        <x:v>51482</x:v>
      </x:c>
      <x:c r="BE136" t="str"/>
    </x:row>
    <x:row r="137">
      <x:c r="B137" t="str">
        <x:f>_xlfn.XLOOKUP(TabelaAtivos[[#This Row],[Ambiente]],TabelaAmbientes[Ambiente],TabelaAmbientes[Cod_ambiente],"",0,1)</x:f>
      </x:c>
      <x:c r="D137" t="str">
        <x:f>_xlfn.XLOOKUP(TabelaAtivos[[#This Row],[Ambiente]],TabelaAmbientes[Ambiente],TabelaAmbientes[Zona],"",0,1)</x:f>
      </x:c>
      <x:c r="M137" s="2"/>
      <x:c r="N137" s="2" t="str">
        <x:f t="shared" si="20"/>
      </x:c>
      <x:c r="O137" t="str">
        <x:f t="shared" si="21"/>
      </x:c>
      <x:c r="P137" t="str">
        <x:f t="shared" si="22"/>
      </x:c>
      <x:c r="Q137" s="3"/>
      <x:c r="R137" s="3" t="str">
        <x:f t="shared" si="23"/>
      </x:c>
      <x:c r="U137" t="str">
        <x:f t="shared" si="24"/>
        <x:v>Sem data</x:v>
      </x:c>
      <x:c r="X137" s="2">
        <x:v>51482</x:v>
      </x:c>
      <x:c r="BE137" t="str"/>
    </x:row>
    <x:row r="138">
      <x:c r="B138" t="str">
        <x:f>_xlfn.XLOOKUP(TabelaAtivos[[#This Row],[Ambiente]],TabelaAmbientes[Ambiente],TabelaAmbientes[Cod_ambiente],"",0,1)</x:f>
      </x:c>
      <x:c r="D138" t="str">
        <x:f>_xlfn.XLOOKUP(TabelaAtivos[[#This Row],[Ambiente]],TabelaAmbientes[Ambiente],TabelaAmbientes[Zona],"",0,1)</x:f>
      </x:c>
      <x:c r="M138" s="2"/>
      <x:c r="N138" s="2" t="str">
        <x:f t="shared" si="20"/>
      </x:c>
      <x:c r="O138" t="str">
        <x:f t="shared" si="21"/>
      </x:c>
      <x:c r="P138" t="str">
        <x:f t="shared" si="22"/>
      </x:c>
      <x:c r="Q138" s="3"/>
      <x:c r="R138" s="3" t="str">
        <x:f t="shared" si="23"/>
      </x:c>
      <x:c r="U138" t="str">
        <x:f t="shared" si="24"/>
        <x:v>Sem data</x:v>
      </x:c>
      <x:c r="X138" s="2">
        <x:v>51482</x:v>
      </x:c>
      <x:c r="BE138" t="str"/>
    </x:row>
    <x:row r="139">
      <x:c r="B139" t="str">
        <x:f>_xlfn.XLOOKUP(TabelaAtivos[[#This Row],[Ambiente]],TabelaAmbientes[Ambiente],TabelaAmbientes[Cod_ambiente],"",0,1)</x:f>
      </x:c>
      <x:c r="D139" t="str">
        <x:f>_xlfn.XLOOKUP(TabelaAtivos[[#This Row],[Ambiente]],TabelaAmbientes[Ambiente],TabelaAmbientes[Zona],"",0,1)</x:f>
      </x:c>
      <x:c r="M139" s="2"/>
      <x:c r="N139" s="2" t="str">
        <x:f t="shared" si="20"/>
      </x:c>
      <x:c r="O139" t="str">
        <x:f t="shared" si="21"/>
      </x:c>
      <x:c r="P139" t="str">
        <x:f t="shared" si="22"/>
      </x:c>
      <x:c r="Q139" s="3"/>
      <x:c r="R139" s="3" t="str">
        <x:f t="shared" si="23"/>
      </x:c>
      <x:c r="U139" t="str">
        <x:f t="shared" si="24"/>
        <x:v>Sem data</x:v>
      </x:c>
      <x:c r="X139" s="2">
        <x:v>51482</x:v>
      </x:c>
      <x:c r="BE139" t="str"/>
    </x:row>
    <x:row r="140">
      <x:c r="B140" t="str">
        <x:f>_xlfn.XLOOKUP(TabelaAtivos[[#This Row],[Ambiente]],TabelaAmbientes[Ambiente],TabelaAmbientes[Cod_ambiente],"",0,1)</x:f>
      </x:c>
      <x:c r="D140" t="str">
        <x:f>_xlfn.XLOOKUP(TabelaAtivos[[#This Row],[Ambiente]],TabelaAmbientes[Ambiente],TabelaAmbientes[Zona],"",0,1)</x:f>
      </x:c>
      <x:c r="M140" s="2"/>
      <x:c r="N140" s="2" t="str">
        <x:f t="shared" si="20"/>
      </x:c>
      <x:c r="O140" t="str">
        <x:f t="shared" si="21"/>
      </x:c>
      <x:c r="P140" t="str">
        <x:f t="shared" si="22"/>
      </x:c>
      <x:c r="Q140" s="3"/>
      <x:c r="R140" s="3" t="str">
        <x:f t="shared" si="23"/>
      </x:c>
      <x:c r="U140" t="str">
        <x:f t="shared" si="24"/>
        <x:v>Sem data</x:v>
      </x:c>
      <x:c r="X140" s="2">
        <x:v>51482</x:v>
      </x:c>
      <x:c r="BE140" t="str"/>
    </x:row>
    <x:row r="141">
      <x:c r="B141" t="str">
        <x:f>_xlfn.XLOOKUP(TabelaAtivos[[#This Row],[Ambiente]],TabelaAmbientes[Ambiente],TabelaAmbientes[Cod_ambiente],"",0,1)</x:f>
      </x:c>
      <x:c r="D141" t="str">
        <x:f>_xlfn.XLOOKUP(TabelaAtivos[[#This Row],[Ambiente]],TabelaAmbientes[Ambiente],TabelaAmbientes[Zona],"",0,1)</x:f>
      </x:c>
      <x:c r="M141" s="2"/>
      <x:c r="N141" s="2" t="str">
        <x:f t="shared" si="20"/>
      </x:c>
      <x:c r="O141" t="str">
        <x:f t="shared" si="21"/>
      </x:c>
      <x:c r="P141" t="str">
        <x:f t="shared" si="22"/>
      </x:c>
      <x:c r="Q141" s="3"/>
      <x:c r="R141" s="3" t="str">
        <x:f t="shared" si="23"/>
      </x:c>
      <x:c r="U141" t="str">
        <x:f t="shared" si="24"/>
        <x:v>Sem data</x:v>
      </x:c>
      <x:c r="X141" s="2">
        <x:v>51482</x:v>
      </x:c>
      <x:c r="BE141" t="str"/>
    </x:row>
    <x:row r="142">
      <x:c r="B142" t="str">
        <x:f>_xlfn.XLOOKUP(TabelaAtivos[[#This Row],[Ambiente]],TabelaAmbientes[Ambiente],TabelaAmbientes[Cod_ambiente],"",0,1)</x:f>
      </x:c>
      <x:c r="D142" t="str">
        <x:f>_xlfn.XLOOKUP(TabelaAtivos[[#This Row],[Ambiente]],TabelaAmbientes[Ambiente],TabelaAmbientes[Zona],"",0,1)</x:f>
      </x:c>
      <x:c r="M142" s="2"/>
      <x:c r="N142" s="2" t="str">
        <x:f t="shared" si="20"/>
      </x:c>
      <x:c r="O142" t="str">
        <x:f t="shared" si="21"/>
      </x:c>
      <x:c r="P142" t="str">
        <x:f t="shared" si="22"/>
      </x:c>
      <x:c r="Q142" s="3"/>
      <x:c r="R142" s="3" t="str">
        <x:f t="shared" si="23"/>
      </x:c>
      <x:c r="U142" t="str">
        <x:f t="shared" si="24"/>
        <x:v>Sem data</x:v>
      </x:c>
      <x:c r="X142" s="2">
        <x:v>51482</x:v>
      </x:c>
      <x:c r="BE142" t="str"/>
    </x:row>
    <x:row r="143">
      <x:c r="B143" t="str">
        <x:f>_xlfn.XLOOKUP(TabelaAtivos[[#This Row],[Ambiente]],TabelaAmbientes[Ambiente],TabelaAmbientes[Cod_ambiente],"",0,1)</x:f>
      </x:c>
      <x:c r="D143" t="str">
        <x:f>_xlfn.XLOOKUP(TabelaAtivos[[#This Row],[Ambiente]],TabelaAmbientes[Ambiente],TabelaAmbientes[Zona],"",0,1)</x:f>
      </x:c>
      <x:c r="M143" s="2"/>
      <x:c r="N143" s="2" t="str">
        <x:f t="shared" si="20"/>
      </x:c>
      <x:c r="O143" t="str">
        <x:f t="shared" si="21"/>
      </x:c>
      <x:c r="P143" t="str">
        <x:f t="shared" si="22"/>
      </x:c>
      <x:c r="Q143" s="3"/>
      <x:c r="R143" s="3" t="str">
        <x:f t="shared" si="23"/>
      </x:c>
      <x:c r="U143" t="str">
        <x:f t="shared" si="24"/>
        <x:v>Sem data</x:v>
      </x:c>
      <x:c r="X143" s="2">
        <x:v>51482</x:v>
      </x:c>
      <x:c r="BE143" t="str"/>
    </x:row>
    <x:row r="144">
      <x:c r="B144" t="str">
        <x:f>_xlfn.XLOOKUP(TabelaAtivos[[#This Row],[Ambiente]],TabelaAmbientes[Ambiente],TabelaAmbientes[Cod_ambiente],"",0,1)</x:f>
      </x:c>
      <x:c r="D144" t="str">
        <x:f>_xlfn.XLOOKUP(TabelaAtivos[[#This Row],[Ambiente]],TabelaAmbientes[Ambiente],TabelaAmbientes[Zona],"",0,1)</x:f>
      </x:c>
      <x:c r="M144" s="2"/>
      <x:c r="N144" s="2" t="str">
        <x:f t="shared" si="20"/>
      </x:c>
      <x:c r="O144" t="str">
        <x:f t="shared" si="21"/>
      </x:c>
      <x:c r="P144" t="str">
        <x:f t="shared" si="22"/>
      </x:c>
      <x:c r="Q144" s="3"/>
      <x:c r="R144" s="3" t="str">
        <x:f t="shared" si="23"/>
      </x:c>
      <x:c r="U144" t="str">
        <x:f t="shared" si="24"/>
        <x:v>Sem data</x:v>
      </x:c>
      <x:c r="X144" s="2">
        <x:v>51482</x:v>
      </x:c>
      <x:c r="BE144" t="str"/>
    </x:row>
    <x:row r="145">
      <x:c r="B145" t="str">
        <x:f>_xlfn.XLOOKUP(TabelaAtivos[[#This Row],[Ambiente]],TabelaAmbientes[Ambiente],TabelaAmbientes[Cod_ambiente],"",0,1)</x:f>
      </x:c>
      <x:c r="D145" t="str">
        <x:f>_xlfn.XLOOKUP(TabelaAtivos[[#This Row],[Ambiente]],TabelaAmbientes[Ambiente],TabelaAmbientes[Zona],"",0,1)</x:f>
      </x:c>
      <x:c r="M145" s="2"/>
      <x:c r="N145" s="2" t="str">
        <x:f t="shared" si="20"/>
      </x:c>
      <x:c r="O145" t="str">
        <x:f t="shared" si="21"/>
      </x:c>
      <x:c r="P145" t="str">
        <x:f t="shared" si="22"/>
      </x:c>
      <x:c r="Q145" s="3"/>
      <x:c r="R145" s="3" t="str">
        <x:f t="shared" si="23"/>
      </x:c>
      <x:c r="U145" t="str">
        <x:f t="shared" si="24"/>
        <x:v>Sem data</x:v>
      </x:c>
      <x:c r="X145" s="2">
        <x:v>51482</x:v>
      </x:c>
      <x:c r="BE145" t="str"/>
    </x:row>
    <x:row r="146">
      <x:c r="B146" t="str">
        <x:f>_xlfn.XLOOKUP(TabelaAtivos[[#This Row],[Ambiente]],TabelaAmbientes[Ambiente],TabelaAmbientes[Cod_ambiente],"",0,1)</x:f>
      </x:c>
      <x:c r="D146" t="str">
        <x:f>_xlfn.XLOOKUP(TabelaAtivos[[#This Row],[Ambiente]],TabelaAmbientes[Ambiente],TabelaAmbientes[Zona],"",0,1)</x:f>
      </x:c>
      <x:c r="M146" s="2"/>
      <x:c r="N146" s="2" t="str">
        <x:f t="shared" si="20"/>
      </x:c>
      <x:c r="O146" t="str">
        <x:f t="shared" si="21"/>
      </x:c>
      <x:c r="P146" t="str">
        <x:f t="shared" si="22"/>
      </x:c>
      <x:c r="Q146" s="3"/>
      <x:c r="R146" s="3" t="str">
        <x:f t="shared" si="23"/>
      </x:c>
      <x:c r="U146" t="str">
        <x:f t="shared" si="24"/>
        <x:v>Sem data</x:v>
      </x:c>
      <x:c r="X146" s="2">
        <x:v>51482</x:v>
      </x:c>
      <x:c r="BE146" t="str"/>
    </x:row>
    <x:row r="147">
      <x:c r="B147" t="str">
        <x:f>_xlfn.XLOOKUP(TabelaAtivos[[#This Row],[Ambiente]],TabelaAmbientes[Ambiente],TabelaAmbientes[Cod_ambiente],"",0,1)</x:f>
      </x:c>
      <x:c r="D147" t="str">
        <x:f>_xlfn.XLOOKUP(TabelaAtivos[[#This Row],[Ambiente]],TabelaAmbientes[Ambiente],TabelaAmbientes[Zona],"",0,1)</x:f>
      </x:c>
      <x:c r="M147" s="2"/>
      <x:c r="N147" s="2" t="str">
        <x:f t="shared" si="20"/>
      </x:c>
      <x:c r="O147" t="str">
        <x:f t="shared" si="21"/>
      </x:c>
      <x:c r="P147" t="str">
        <x:f t="shared" si="22"/>
      </x:c>
      <x:c r="Q147" s="3"/>
      <x:c r="R147" s="3" t="str">
        <x:f t="shared" si="23"/>
      </x:c>
      <x:c r="U147" t="str">
        <x:f t="shared" si="24"/>
        <x:v>Sem data</x:v>
      </x:c>
      <x:c r="X147" s="2">
        <x:v>51482</x:v>
      </x:c>
      <x:c r="BE147" t="str"/>
    </x:row>
    <x:row r="148">
      <x:c r="B148" t="str">
        <x:f>_xlfn.XLOOKUP(TabelaAtivos[[#This Row],[Ambiente]],TabelaAmbientes[Ambiente],TabelaAmbientes[Cod_ambiente],"",0,1)</x:f>
      </x:c>
      <x:c r="D148" t="str">
        <x:f>_xlfn.XLOOKUP(TabelaAtivos[[#This Row],[Ambiente]],TabelaAmbientes[Ambiente],TabelaAmbientes[Zona],"",0,1)</x:f>
      </x:c>
      <x:c r="M148" s="2"/>
      <x:c r="N148" s="2" t="str">
        <x:f t="shared" si="20"/>
      </x:c>
      <x:c r="O148" t="str">
        <x:f t="shared" si="21"/>
      </x:c>
      <x:c r="P148" t="str">
        <x:f t="shared" si="22"/>
      </x:c>
      <x:c r="Q148" s="3"/>
      <x:c r="R148" s="3" t="str">
        <x:f t="shared" si="23"/>
      </x:c>
      <x:c r="U148" t="str">
        <x:f t="shared" si="24"/>
        <x:v>Sem data</x:v>
      </x:c>
      <x:c r="X148" s="2">
        <x:v>51482</x:v>
      </x:c>
      <x:c r="BE148" t="str"/>
    </x:row>
    <x:row r="149">
      <x:c r="B149" t="str">
        <x:f>_xlfn.XLOOKUP(TabelaAtivos[[#This Row],[Ambiente]],TabelaAmbientes[Ambiente],TabelaAmbientes[Cod_ambiente],"",0,1)</x:f>
      </x:c>
      <x:c r="D149" t="str">
        <x:f>_xlfn.XLOOKUP(TabelaAtivos[[#This Row],[Ambiente]],TabelaAmbientes[Ambiente],TabelaAmbientes[Zona],"",0,1)</x:f>
      </x:c>
      <x:c r="M149" s="2"/>
      <x:c r="N149" s="2" t="str">
        <x:f t="shared" si="20"/>
      </x:c>
      <x:c r="O149" t="str">
        <x:f t="shared" si="21"/>
      </x:c>
      <x:c r="P149" t="str">
        <x:f t="shared" si="22"/>
      </x:c>
      <x:c r="Q149" s="3"/>
      <x:c r="R149" s="3" t="str">
        <x:f t="shared" si="23"/>
      </x:c>
      <x:c r="U149" t="str">
        <x:f t="shared" si="24"/>
        <x:v>Sem data</x:v>
      </x:c>
      <x:c r="X149" s="2">
        <x:v>51482</x:v>
      </x:c>
      <x:c r="BE149" t="str"/>
    </x:row>
    <x:row r="150">
      <x:c r="B150" t="str">
        <x:f>_xlfn.XLOOKUP(TabelaAtivos[[#This Row],[Ambiente]],TabelaAmbientes[Ambiente],TabelaAmbientes[Cod_ambiente],"",0,1)</x:f>
      </x:c>
      <x:c r="D150" t="str">
        <x:f>_xlfn.XLOOKUP(TabelaAtivos[[#This Row],[Ambiente]],TabelaAmbientes[Ambiente],TabelaAmbientes[Zona],"",0,1)</x:f>
      </x:c>
      <x:c r="M150" s="2"/>
      <x:c r="N150" s="2" t="str">
        <x:f t="shared" si="20"/>
      </x:c>
      <x:c r="O150" t="str">
        <x:f t="shared" si="21"/>
      </x:c>
      <x:c r="P150" t="str">
        <x:f t="shared" si="22"/>
      </x:c>
      <x:c r="Q150" s="3"/>
      <x:c r="R150" s="3" t="str">
        <x:f t="shared" si="23"/>
      </x:c>
      <x:c r="U150" t="str">
        <x:f t="shared" si="24"/>
        <x:v>Sem data</x:v>
      </x:c>
      <x:c r="X150" s="2">
        <x:v>51482</x:v>
      </x:c>
      <x:c r="BE150" t="str"/>
    </x:row>
    <x:row r="151">
      <x:c r="B151" t="str">
        <x:f>_xlfn.XLOOKUP(TabelaAtivos[[#This Row],[Ambiente]],TabelaAmbientes[Ambiente],TabelaAmbientes[Cod_ambiente],"",0,1)</x:f>
      </x:c>
      <x:c r="D151" t="str">
        <x:f>_xlfn.XLOOKUP(TabelaAtivos[[#This Row],[Ambiente]],TabelaAmbientes[Ambiente],TabelaAmbientes[Zona],"",0,1)</x:f>
      </x:c>
      <x:c r="M151" s="2"/>
      <x:c r="N151" s="2" t="str">
        <x:f t="shared" si="20"/>
      </x:c>
      <x:c r="O151" t="str">
        <x:f t="shared" si="21"/>
      </x:c>
      <x:c r="P151" t="str">
        <x:f t="shared" si="22"/>
      </x:c>
      <x:c r="Q151" s="3"/>
      <x:c r="R151" s="3" t="str">
        <x:f t="shared" si="23"/>
      </x:c>
      <x:c r="U151" t="str">
        <x:f t="shared" si="24"/>
        <x:v>Sem data</x:v>
      </x:c>
      <x:c r="X151" s="2">
        <x:v>51482</x:v>
      </x:c>
      <x:c r="BE151" t="str"/>
    </x:row>
    <x:row r="152">
      <x:c r="B152" t="str">
        <x:f>_xlfn.XLOOKUP(TabelaAtivos[[#This Row],[Ambiente]],TabelaAmbientes[Ambiente],TabelaAmbientes[Cod_ambiente],"",0,1)</x:f>
      </x:c>
      <x:c r="D152" t="str">
        <x:f>_xlfn.XLOOKUP(TabelaAtivos[[#This Row],[Ambiente]],TabelaAmbientes[Ambiente],TabelaAmbientes[Zona],"",0,1)</x:f>
      </x:c>
      <x:c r="M152" s="2"/>
      <x:c r="N152" s="2" t="str">
        <x:f t="shared" si="20"/>
      </x:c>
      <x:c r="O152" t="str">
        <x:f t="shared" si="21"/>
      </x:c>
      <x:c r="P152" t="str">
        <x:f t="shared" si="22"/>
      </x:c>
      <x:c r="Q152" s="3"/>
      <x:c r="R152" s="3" t="str">
        <x:f t="shared" si="23"/>
      </x:c>
      <x:c r="U152" t="str">
        <x:f t="shared" si="24"/>
        <x:v>Sem data</x:v>
      </x:c>
      <x:c r="X152" s="2">
        <x:v>51482</x:v>
      </x:c>
      <x:c r="BE152" t="str"/>
    </x:row>
    <x:row r="153">
      <x:c r="B153" t="str">
        <x:f>_xlfn.XLOOKUP(TabelaAtivos[[#This Row],[Ambiente]],TabelaAmbientes[Ambiente],TabelaAmbientes[Cod_ambiente],"",0,1)</x:f>
      </x:c>
      <x:c r="D153" t="str">
        <x:f>_xlfn.XLOOKUP(TabelaAtivos[[#This Row],[Ambiente]],TabelaAmbientes[Ambiente],TabelaAmbientes[Zona],"",0,1)</x:f>
      </x:c>
      <x:c r="M153" s="2"/>
      <x:c r="N153" s="2" t="str">
        <x:f t="shared" si="20"/>
      </x:c>
      <x:c r="O153" t="str">
        <x:f t="shared" si="21"/>
      </x:c>
      <x:c r="P153" t="str">
        <x:f t="shared" si="22"/>
      </x:c>
      <x:c r="Q153" s="3"/>
      <x:c r="R153" s="3" t="str">
        <x:f t="shared" si="23"/>
      </x:c>
      <x:c r="U153" t="str">
        <x:f t="shared" si="24"/>
        <x:v>Sem data</x:v>
      </x:c>
      <x:c r="X153" s="2">
        <x:v>51482</x:v>
      </x:c>
      <x:c r="BE153" t="str"/>
    </x:row>
    <x:row r="154">
      <x:c r="B154" t="str">
        <x:f>_xlfn.XLOOKUP(TabelaAtivos[[#This Row],[Ambiente]],TabelaAmbientes[Ambiente],TabelaAmbientes[Cod_ambiente],"",0,1)</x:f>
      </x:c>
      <x:c r="D154" t="str">
        <x:f>_xlfn.XLOOKUP(TabelaAtivos[[#This Row],[Ambiente]],TabelaAmbientes[Ambiente],TabelaAmbientes[Zona],"",0,1)</x:f>
      </x:c>
      <x:c r="M154" s="2"/>
      <x:c r="N154" s="2" t="str">
        <x:f t="shared" si="20"/>
      </x:c>
      <x:c r="O154" t="str">
        <x:f t="shared" si="21"/>
      </x:c>
      <x:c r="P154" t="str">
        <x:f t="shared" si="22"/>
      </x:c>
      <x:c r="Q154" s="3"/>
      <x:c r="R154" s="3" t="str">
        <x:f t="shared" si="23"/>
      </x:c>
      <x:c r="U154" t="str">
        <x:f t="shared" si="24"/>
        <x:v>Sem data</x:v>
      </x:c>
      <x:c r="X154" s="2">
        <x:v>51482</x:v>
      </x:c>
      <x:c r="BE154" t="str"/>
    </x:row>
    <x:row r="155">
      <x:c r="B155" t="str">
        <x:f>_xlfn.XLOOKUP(TabelaAtivos[[#This Row],[Ambiente]],TabelaAmbientes[Ambiente],TabelaAmbientes[Cod_ambiente],"",0,1)</x:f>
      </x:c>
      <x:c r="D155" t="str">
        <x:f>_xlfn.XLOOKUP(TabelaAtivos[[#This Row],[Ambiente]],TabelaAmbientes[Ambiente],TabelaAmbientes[Zona],"",0,1)</x:f>
      </x:c>
      <x:c r="M155" s="2"/>
      <x:c r="N155" s="2" t="str">
        <x:f t="shared" si="20"/>
      </x:c>
      <x:c r="O155" t="str">
        <x:f t="shared" si="21"/>
      </x:c>
      <x:c r="P155" t="str">
        <x:f t="shared" si="22"/>
      </x:c>
      <x:c r="Q155" s="3"/>
      <x:c r="R155" s="3" t="str">
        <x:f t="shared" si="23"/>
      </x:c>
      <x:c r="U155" t="str">
        <x:f t="shared" si="24"/>
        <x:v>Sem data</x:v>
      </x:c>
      <x:c r="X155" s="2">
        <x:v>51482</x:v>
      </x:c>
      <x:c r="BE155" t="str"/>
    </x:row>
    <x:row r="156">
      <x:c r="B156" t="str">
        <x:f>_xlfn.XLOOKUP(TabelaAtivos[[#This Row],[Ambiente]],TabelaAmbientes[Ambiente],TabelaAmbientes[Cod_ambiente],"",0,1)</x:f>
      </x:c>
      <x:c r="D156" t="str">
        <x:f>_xlfn.XLOOKUP(TabelaAtivos[[#This Row],[Ambiente]],TabelaAmbientes[Ambiente],TabelaAmbientes[Zona],"",0,1)</x:f>
      </x:c>
      <x:c r="M156" s="2"/>
      <x:c r="N156" s="2" t="str">
        <x:f t="shared" si="20"/>
      </x:c>
      <x:c r="O156" t="str">
        <x:f t="shared" si="21"/>
      </x:c>
      <x:c r="P156" t="str">
        <x:f t="shared" si="22"/>
      </x:c>
      <x:c r="Q156" s="3"/>
      <x:c r="R156" s="3" t="str">
        <x:f t="shared" si="23"/>
      </x:c>
      <x:c r="U156" t="str">
        <x:f t="shared" si="24"/>
        <x:v>Sem data</x:v>
      </x:c>
      <x:c r="X156" s="2">
        <x:v>51482</x:v>
      </x:c>
      <x:c r="BE156" t="str"/>
    </x:row>
    <x:row r="157">
      <x:c r="B157" t="str">
        <x:f>_xlfn.XLOOKUP(TabelaAtivos[[#This Row],[Ambiente]],TabelaAmbientes[Ambiente],TabelaAmbientes[Cod_ambiente],"",0,1)</x:f>
      </x:c>
      <x:c r="D157" t="str">
        <x:f>_xlfn.XLOOKUP(TabelaAtivos[[#This Row],[Ambiente]],TabelaAmbientes[Ambiente],TabelaAmbientes[Zona],"",0,1)</x:f>
      </x:c>
      <x:c r="M157" s="2"/>
      <x:c r="N157" s="2" t="str">
        <x:f t="shared" si="20"/>
      </x:c>
      <x:c r="O157" t="str">
        <x:f t="shared" si="21"/>
      </x:c>
      <x:c r="P157" t="str">
        <x:f t="shared" si="22"/>
      </x:c>
      <x:c r="Q157" s="3"/>
      <x:c r="R157" s="3" t="str">
        <x:f t="shared" si="23"/>
      </x:c>
      <x:c r="U157" t="str">
        <x:f t="shared" si="24"/>
        <x:v>Sem data</x:v>
      </x:c>
      <x:c r="X157" s="2">
        <x:v>51482</x:v>
      </x:c>
      <x:c r="BE157" t="str"/>
    </x:row>
    <x:row r="158">
      <x:c r="B158" t="str">
        <x:f>_xlfn.XLOOKUP(TabelaAtivos[[#This Row],[Ambiente]],TabelaAmbientes[Ambiente],TabelaAmbientes[Cod_ambiente],"",0,1)</x:f>
      </x:c>
      <x:c r="D158" t="str">
        <x:f>_xlfn.XLOOKUP(TabelaAtivos[[#This Row],[Ambiente]],TabelaAmbientes[Ambiente],TabelaAmbientes[Zona],"",0,1)</x:f>
      </x:c>
      <x:c r="M158" s="2"/>
      <x:c r="N158" s="2" t="str">
        <x:f t="shared" si="20"/>
      </x:c>
      <x:c r="O158" t="str">
        <x:f t="shared" si="21"/>
      </x:c>
      <x:c r="P158" t="str">
        <x:f t="shared" si="22"/>
      </x:c>
      <x:c r="Q158" s="3"/>
      <x:c r="R158" s="3" t="str">
        <x:f t="shared" si="23"/>
      </x:c>
      <x:c r="U158" t="str">
        <x:f t="shared" si="24"/>
        <x:v>Sem data</x:v>
      </x:c>
      <x:c r="X158" s="2">
        <x:v>51482</x:v>
      </x:c>
      <x:c r="BE158" t="str"/>
    </x:row>
    <x:row r="159">
      <x:c r="B159" t="str">
        <x:f>_xlfn.XLOOKUP(TabelaAtivos[[#This Row],[Ambiente]],TabelaAmbientes[Ambiente],TabelaAmbientes[Cod_ambiente],"",0,1)</x:f>
      </x:c>
      <x:c r="D159" t="str">
        <x:f>_xlfn.XLOOKUP(TabelaAtivos[[#This Row],[Ambiente]],TabelaAmbientes[Ambiente],TabelaAmbientes[Zona],"",0,1)</x:f>
      </x:c>
      <x:c r="M159" s="2"/>
      <x:c r="N159" s="2" t="str">
        <x:f t="shared" si="20"/>
      </x:c>
      <x:c r="O159" t="str">
        <x:f t="shared" si="21"/>
      </x:c>
      <x:c r="P159" t="str">
        <x:f t="shared" si="22"/>
      </x:c>
      <x:c r="Q159" s="3"/>
      <x:c r="R159" s="3" t="str">
        <x:f t="shared" si="23"/>
      </x:c>
      <x:c r="U159" t="str">
        <x:f t="shared" si="24"/>
        <x:v>Sem data</x:v>
      </x:c>
      <x:c r="X159" s="2">
        <x:v>51482</x:v>
      </x:c>
      <x:c r="BE159" t="str"/>
    </x:row>
    <x:row r="160">
      <x:c r="B160" t="str">
        <x:f>_xlfn.XLOOKUP(TabelaAtivos[[#This Row],[Ambiente]],TabelaAmbientes[Ambiente],TabelaAmbientes[Cod_ambiente],"",0,1)</x:f>
      </x:c>
      <x:c r="D160" t="str">
        <x:f>_xlfn.XLOOKUP(TabelaAtivos[[#This Row],[Ambiente]],TabelaAmbientes[Ambiente],TabelaAmbientes[Zona],"",0,1)</x:f>
      </x:c>
      <x:c r="M160" s="2"/>
      <x:c r="N160" s="2" t="str">
        <x:f t="shared" si="20"/>
      </x:c>
      <x:c r="O160" t="str">
        <x:f t="shared" si="21"/>
      </x:c>
      <x:c r="P160" t="str">
        <x:f t="shared" si="22"/>
      </x:c>
      <x:c r="Q160" s="3"/>
      <x:c r="R160" s="3" t="str">
        <x:f t="shared" si="23"/>
      </x:c>
      <x:c r="U160" t="str">
        <x:f t="shared" si="24"/>
        <x:v>Sem data</x:v>
      </x:c>
      <x:c r="X160" s="2">
        <x:v>51482</x:v>
      </x:c>
      <x:c r="BE160" t="str"/>
    </x:row>
    <x:row r="161">
      <x:c r="B161" t="str">
        <x:f>_xlfn.XLOOKUP(TabelaAtivos[[#This Row],[Ambiente]],TabelaAmbientes[Ambiente],TabelaAmbientes[Cod_ambiente],"",0,1)</x:f>
      </x:c>
      <x:c r="D161" t="str">
        <x:f>_xlfn.XLOOKUP(TabelaAtivos[[#This Row],[Ambiente]],TabelaAmbientes[Ambiente],TabelaAmbientes[Zona],"",0,1)</x:f>
      </x:c>
      <x:c r="M161" s="2"/>
      <x:c r="N161" s="2" t="str">
        <x:f t="shared" si="20"/>
      </x:c>
      <x:c r="O161" t="str">
        <x:f t="shared" si="21"/>
      </x:c>
      <x:c r="P161" t="str">
        <x:f t="shared" si="22"/>
      </x:c>
      <x:c r="Q161" s="3"/>
      <x:c r="R161" s="3" t="str">
        <x:f t="shared" si="23"/>
      </x:c>
      <x:c r="U161" t="str">
        <x:f t="shared" si="24"/>
        <x:v>Sem data</x:v>
      </x:c>
      <x:c r="X161" s="2">
        <x:v>51482</x:v>
      </x:c>
      <x:c r="BE161" t="str"/>
    </x:row>
    <x:row r="162">
      <x:c r="B162" t="str">
        <x:f>_xlfn.XLOOKUP(TabelaAtivos[[#This Row],[Ambiente]],TabelaAmbientes[Ambiente],TabelaAmbientes[Cod_ambiente],"",0,1)</x:f>
      </x:c>
      <x:c r="D162" t="str">
        <x:f>_xlfn.XLOOKUP(TabelaAtivos[[#This Row],[Ambiente]],TabelaAmbientes[Ambiente],TabelaAmbientes[Zona],"",0,1)</x:f>
      </x:c>
      <x:c r="M162" s="2"/>
      <x:c r="N162" s="2" t="str">
        <x:f t="shared" ref="N162:N193" si="25">IF(M162="","",EDATE(M162,L162))</x:f>
      </x:c>
      <x:c r="O162" t="str">
        <x:f t="shared" ref="O162:O193" si="26">IF(N162="","",YEAR(N162))</x:f>
      </x:c>
      <x:c r="P162" t="str">
        <x:f t="shared" ref="P162:P193" si="27">IF(N162="","",TEXT(N162,"mmm"))</x:f>
      </x:c>
      <x:c r="Q162" s="3"/>
      <x:c r="R162" s="3" t="str">
        <x:f t="shared" ref="R162:R193" si="28">IF(OR(J162="",Q162=""),"",J162*Q162)</x:f>
      </x:c>
      <x:c r="U162" t="str">
        <x:f t="shared" ref="U162:U193" si="29">IF(N162="","Sem data",IF(N162&lt;TODAY(),"Vencido",IF(N162&lt;=TODAY()+30,"Próx. 30 dias",IF(N162&lt;=TODAY()+90,"Próx. 90 dias","Programado"))))</x:f>
        <x:v>Sem data</x:v>
      </x:c>
      <x:c r="X162" s="2">
        <x:v>51482</x:v>
      </x:c>
      <x:c r="BE162" t="str"/>
    </x:row>
    <x:row r="163">
      <x:c r="B163" t="str">
        <x:f>_xlfn.XLOOKUP(TabelaAtivos[[#This Row],[Ambiente]],TabelaAmbientes[Ambiente],TabelaAmbientes[Cod_ambiente],"",0,1)</x:f>
      </x:c>
      <x:c r="D163" t="str">
        <x:f>_xlfn.XLOOKUP(TabelaAtivos[[#This Row],[Ambiente]],TabelaAmbientes[Ambiente],TabelaAmbientes[Zona],"",0,1)</x:f>
      </x:c>
      <x:c r="M163" s="2"/>
      <x:c r="N163" s="2" t="str">
        <x:f t="shared" si="25"/>
      </x:c>
      <x:c r="O163" t="str">
        <x:f t="shared" si="26"/>
      </x:c>
      <x:c r="P163" t="str">
        <x:f t="shared" si="27"/>
      </x:c>
      <x:c r="Q163" s="3"/>
      <x:c r="R163" s="3" t="str">
        <x:f t="shared" si="28"/>
      </x:c>
      <x:c r="U163" t="str">
        <x:f t="shared" si="29"/>
        <x:v>Sem data</x:v>
      </x:c>
      <x:c r="X163" s="2">
        <x:v>51482</x:v>
      </x:c>
      <x:c r="BE163" t="str"/>
    </x:row>
    <x:row r="164">
      <x:c r="B164" t="str">
        <x:f>_xlfn.XLOOKUP(TabelaAtivos[[#This Row],[Ambiente]],TabelaAmbientes[Ambiente],TabelaAmbientes[Cod_ambiente],"",0,1)</x:f>
      </x:c>
      <x:c r="D164" t="str">
        <x:f>_xlfn.XLOOKUP(TabelaAtivos[[#This Row],[Ambiente]],TabelaAmbientes[Ambiente],TabelaAmbientes[Zona],"",0,1)</x:f>
      </x:c>
      <x:c r="M164" s="2"/>
      <x:c r="N164" s="2" t="str">
        <x:f t="shared" si="25"/>
      </x:c>
      <x:c r="O164" t="str">
        <x:f t="shared" si="26"/>
      </x:c>
      <x:c r="P164" t="str">
        <x:f t="shared" si="27"/>
      </x:c>
      <x:c r="Q164" s="3"/>
      <x:c r="R164" s="3" t="str">
        <x:f t="shared" si="28"/>
      </x:c>
      <x:c r="U164" t="str">
        <x:f t="shared" si="29"/>
        <x:v>Sem data</x:v>
      </x:c>
      <x:c r="X164" s="2">
        <x:v>51482</x:v>
      </x:c>
      <x:c r="BE164" t="str"/>
    </x:row>
    <x:row r="165">
      <x:c r="B165" t="str">
        <x:f>_xlfn.XLOOKUP(TabelaAtivos[[#This Row],[Ambiente]],TabelaAmbientes[Ambiente],TabelaAmbientes[Cod_ambiente],"",0,1)</x:f>
      </x:c>
      <x:c r="D165" t="str">
        <x:f>_xlfn.XLOOKUP(TabelaAtivos[[#This Row],[Ambiente]],TabelaAmbientes[Ambiente],TabelaAmbientes[Zona],"",0,1)</x:f>
      </x:c>
      <x:c r="M165" s="2"/>
      <x:c r="N165" s="2" t="str">
        <x:f t="shared" si="25"/>
      </x:c>
      <x:c r="O165" t="str">
        <x:f t="shared" si="26"/>
      </x:c>
      <x:c r="P165" t="str">
        <x:f t="shared" si="27"/>
      </x:c>
      <x:c r="Q165" s="3"/>
      <x:c r="R165" s="3" t="str">
        <x:f t="shared" si="28"/>
      </x:c>
      <x:c r="U165" t="str">
        <x:f t="shared" si="29"/>
        <x:v>Sem data</x:v>
      </x:c>
      <x:c r="X165" s="2">
        <x:v>51482</x:v>
      </x:c>
      <x:c r="BE165" t="str"/>
    </x:row>
    <x:row r="166">
      <x:c r="B166" t="str">
        <x:f>_xlfn.XLOOKUP(TabelaAtivos[[#This Row],[Ambiente]],TabelaAmbientes[Ambiente],TabelaAmbientes[Cod_ambiente],"",0,1)</x:f>
      </x:c>
      <x:c r="D166" t="str">
        <x:f>_xlfn.XLOOKUP(TabelaAtivos[[#This Row],[Ambiente]],TabelaAmbientes[Ambiente],TabelaAmbientes[Zona],"",0,1)</x:f>
      </x:c>
      <x:c r="M166" s="2"/>
      <x:c r="N166" s="2" t="str">
        <x:f t="shared" si="25"/>
      </x:c>
      <x:c r="O166" t="str">
        <x:f t="shared" si="26"/>
      </x:c>
      <x:c r="P166" t="str">
        <x:f t="shared" si="27"/>
      </x:c>
      <x:c r="Q166" s="3"/>
      <x:c r="R166" s="3" t="str">
        <x:f t="shared" si="28"/>
      </x:c>
      <x:c r="U166" t="str">
        <x:f t="shared" si="29"/>
        <x:v>Sem data</x:v>
      </x:c>
      <x:c r="X166" s="2">
        <x:v>51482</x:v>
      </x:c>
      <x:c r="BE166" t="str"/>
    </x:row>
    <x:row r="167">
      <x:c r="B167" t="str">
        <x:f>_xlfn.XLOOKUP(TabelaAtivos[[#This Row],[Ambiente]],TabelaAmbientes[Ambiente],TabelaAmbientes[Cod_ambiente],"",0,1)</x:f>
      </x:c>
      <x:c r="D167" t="str">
        <x:f>_xlfn.XLOOKUP(TabelaAtivos[[#This Row],[Ambiente]],TabelaAmbientes[Ambiente],TabelaAmbientes[Zona],"",0,1)</x:f>
      </x:c>
      <x:c r="M167" s="2"/>
      <x:c r="N167" s="2" t="str">
        <x:f t="shared" si="25"/>
      </x:c>
      <x:c r="O167" t="str">
        <x:f t="shared" si="26"/>
      </x:c>
      <x:c r="P167" t="str">
        <x:f t="shared" si="27"/>
      </x:c>
      <x:c r="Q167" s="3"/>
      <x:c r="R167" s="3" t="str">
        <x:f t="shared" si="28"/>
      </x:c>
      <x:c r="U167" t="str">
        <x:f t="shared" si="29"/>
        <x:v>Sem data</x:v>
      </x:c>
      <x:c r="X167" s="2">
        <x:v>51482</x:v>
      </x:c>
      <x:c r="BE167" t="str"/>
    </x:row>
    <x:row r="168">
      <x:c r="B168" t="str">
        <x:f>_xlfn.XLOOKUP(TabelaAtivos[[#This Row],[Ambiente]],TabelaAmbientes[Ambiente],TabelaAmbientes[Cod_ambiente],"",0,1)</x:f>
      </x:c>
      <x:c r="D168" t="str">
        <x:f>_xlfn.XLOOKUP(TabelaAtivos[[#This Row],[Ambiente]],TabelaAmbientes[Ambiente],TabelaAmbientes[Zona],"",0,1)</x:f>
      </x:c>
      <x:c r="M168" s="2"/>
      <x:c r="N168" s="2" t="str">
        <x:f t="shared" si="25"/>
      </x:c>
      <x:c r="O168" t="str">
        <x:f t="shared" si="26"/>
      </x:c>
      <x:c r="P168" t="str">
        <x:f t="shared" si="27"/>
      </x:c>
      <x:c r="Q168" s="3"/>
      <x:c r="R168" s="3" t="str">
        <x:f t="shared" si="28"/>
      </x:c>
      <x:c r="U168" t="str">
        <x:f t="shared" si="29"/>
        <x:v>Sem data</x:v>
      </x:c>
      <x:c r="X168" s="2">
        <x:v>51482</x:v>
      </x:c>
      <x:c r="BE168" t="str"/>
    </x:row>
    <x:row r="169">
      <x:c r="B169" t="str">
        <x:f>_xlfn.XLOOKUP(TabelaAtivos[[#This Row],[Ambiente]],TabelaAmbientes[Ambiente],TabelaAmbientes[Cod_ambiente],"",0,1)</x:f>
      </x:c>
      <x:c r="D169" t="str">
        <x:f>_xlfn.XLOOKUP(TabelaAtivos[[#This Row],[Ambiente]],TabelaAmbientes[Ambiente],TabelaAmbientes[Zona],"",0,1)</x:f>
      </x:c>
      <x:c r="M169" s="2"/>
      <x:c r="N169" s="2" t="str">
        <x:f t="shared" si="25"/>
      </x:c>
      <x:c r="O169" t="str">
        <x:f t="shared" si="26"/>
      </x:c>
      <x:c r="P169" t="str">
        <x:f t="shared" si="27"/>
      </x:c>
      <x:c r="Q169" s="3"/>
      <x:c r="R169" s="3" t="str">
        <x:f t="shared" si="28"/>
      </x:c>
      <x:c r="U169" t="str">
        <x:f t="shared" si="29"/>
        <x:v>Sem data</x:v>
      </x:c>
      <x:c r="X169" s="2">
        <x:v>51482</x:v>
      </x:c>
      <x:c r="BE169" t="str"/>
    </x:row>
    <x:row r="170">
      <x:c r="B170" t="str">
        <x:f>_xlfn.XLOOKUP(TabelaAtivos[[#This Row],[Ambiente]],TabelaAmbientes[Ambiente],TabelaAmbientes[Cod_ambiente],"",0,1)</x:f>
      </x:c>
      <x:c r="D170" t="str">
        <x:f>_xlfn.XLOOKUP(TabelaAtivos[[#This Row],[Ambiente]],TabelaAmbientes[Ambiente],TabelaAmbientes[Zona],"",0,1)</x:f>
      </x:c>
      <x:c r="M170" s="2"/>
      <x:c r="N170" s="2" t="str">
        <x:f t="shared" si="25"/>
      </x:c>
      <x:c r="O170" t="str">
        <x:f t="shared" si="26"/>
      </x:c>
      <x:c r="P170" t="str">
        <x:f t="shared" si="27"/>
      </x:c>
      <x:c r="Q170" s="3"/>
      <x:c r="R170" s="3" t="str">
        <x:f t="shared" si="28"/>
      </x:c>
      <x:c r="U170" t="str">
        <x:f t="shared" si="29"/>
        <x:v>Sem data</x:v>
      </x:c>
      <x:c r="X170" s="2">
        <x:v>51482</x:v>
      </x:c>
      <x:c r="BE170" t="str"/>
    </x:row>
    <x:row r="171">
      <x:c r="B171" t="str">
        <x:f>_xlfn.XLOOKUP(TabelaAtivos[[#This Row],[Ambiente]],TabelaAmbientes[Ambiente],TabelaAmbientes[Cod_ambiente],"",0,1)</x:f>
      </x:c>
      <x:c r="D171" t="str">
        <x:f>_xlfn.XLOOKUP(TabelaAtivos[[#This Row],[Ambiente]],TabelaAmbientes[Ambiente],TabelaAmbientes[Zona],"",0,1)</x:f>
      </x:c>
      <x:c r="M171" s="2"/>
      <x:c r="N171" s="2" t="str">
        <x:f t="shared" si="25"/>
      </x:c>
      <x:c r="O171" t="str">
        <x:f t="shared" si="26"/>
      </x:c>
      <x:c r="P171" t="str">
        <x:f t="shared" si="27"/>
      </x:c>
      <x:c r="Q171" s="3"/>
      <x:c r="R171" s="3" t="str">
        <x:f t="shared" si="28"/>
      </x:c>
      <x:c r="U171" t="str">
        <x:f t="shared" si="29"/>
        <x:v>Sem data</x:v>
      </x:c>
      <x:c r="X171" s="2">
        <x:v>51482</x:v>
      </x:c>
      <x:c r="BE171" t="str"/>
    </x:row>
    <x:row r="172">
      <x:c r="B172" t="str">
        <x:f>_xlfn.XLOOKUP(TabelaAtivos[[#This Row],[Ambiente]],TabelaAmbientes[Ambiente],TabelaAmbientes[Cod_ambiente],"",0,1)</x:f>
      </x:c>
      <x:c r="D172" t="str">
        <x:f>_xlfn.XLOOKUP(TabelaAtivos[[#This Row],[Ambiente]],TabelaAmbientes[Ambiente],TabelaAmbientes[Zona],"",0,1)</x:f>
      </x:c>
      <x:c r="M172" s="2"/>
      <x:c r="N172" s="2" t="str">
        <x:f t="shared" si="25"/>
      </x:c>
      <x:c r="O172" t="str">
        <x:f t="shared" si="26"/>
      </x:c>
      <x:c r="P172" t="str">
        <x:f t="shared" si="27"/>
      </x:c>
      <x:c r="Q172" s="3"/>
      <x:c r="R172" s="3" t="str">
        <x:f t="shared" si="28"/>
      </x:c>
      <x:c r="U172" t="str">
        <x:f t="shared" si="29"/>
        <x:v>Sem data</x:v>
      </x:c>
      <x:c r="X172" s="2">
        <x:v>51482</x:v>
      </x:c>
      <x:c r="BE172" t="str"/>
    </x:row>
    <x:row r="173">
      <x:c r="B173" t="str">
        <x:f>_xlfn.XLOOKUP(TabelaAtivos[[#This Row],[Ambiente]],TabelaAmbientes[Ambiente],TabelaAmbientes[Cod_ambiente],"",0,1)</x:f>
      </x:c>
      <x:c r="D173" t="str">
        <x:f>_xlfn.XLOOKUP(TabelaAtivos[[#This Row],[Ambiente]],TabelaAmbientes[Ambiente],TabelaAmbientes[Zona],"",0,1)</x:f>
      </x:c>
      <x:c r="M173" s="2"/>
      <x:c r="N173" s="2" t="str">
        <x:f t="shared" si="25"/>
      </x:c>
      <x:c r="O173" t="str">
        <x:f t="shared" si="26"/>
      </x:c>
      <x:c r="P173" t="str">
        <x:f t="shared" si="27"/>
      </x:c>
      <x:c r="Q173" s="3"/>
      <x:c r="R173" s="3" t="str">
        <x:f t="shared" si="28"/>
      </x:c>
      <x:c r="U173" t="str">
        <x:f t="shared" si="29"/>
        <x:v>Sem data</x:v>
      </x:c>
      <x:c r="X173" s="2">
        <x:v>51482</x:v>
      </x:c>
      <x:c r="BE173" t="str"/>
    </x:row>
    <x:row r="174">
      <x:c r="B174" t="str">
        <x:f>_xlfn.XLOOKUP(TabelaAtivos[[#This Row],[Ambiente]],TabelaAmbientes[Ambiente],TabelaAmbientes[Cod_ambiente],"",0,1)</x:f>
      </x:c>
      <x:c r="D174" t="str">
        <x:f>_xlfn.XLOOKUP(TabelaAtivos[[#This Row],[Ambiente]],TabelaAmbientes[Ambiente],TabelaAmbientes[Zona],"",0,1)</x:f>
      </x:c>
      <x:c r="M174" s="2"/>
      <x:c r="N174" s="2" t="str">
        <x:f t="shared" si="25"/>
      </x:c>
      <x:c r="O174" t="str">
        <x:f t="shared" si="26"/>
      </x:c>
      <x:c r="P174" t="str">
        <x:f t="shared" si="27"/>
      </x:c>
      <x:c r="Q174" s="3"/>
      <x:c r="R174" s="3" t="str">
        <x:f t="shared" si="28"/>
      </x:c>
      <x:c r="U174" t="str">
        <x:f t="shared" si="29"/>
        <x:v>Sem data</x:v>
      </x:c>
      <x:c r="X174" s="2">
        <x:v>51482</x:v>
      </x:c>
      <x:c r="BE174" t="str"/>
    </x:row>
    <x:row r="175">
      <x:c r="B175" t="str">
        <x:f>_xlfn.XLOOKUP(TabelaAtivos[[#This Row],[Ambiente]],TabelaAmbientes[Ambiente],TabelaAmbientes[Cod_ambiente],"",0,1)</x:f>
      </x:c>
      <x:c r="D175" t="str">
        <x:f>_xlfn.XLOOKUP(TabelaAtivos[[#This Row],[Ambiente]],TabelaAmbientes[Ambiente],TabelaAmbientes[Zona],"",0,1)</x:f>
      </x:c>
      <x:c r="M175" s="2"/>
      <x:c r="N175" s="2" t="str">
        <x:f t="shared" si="25"/>
      </x:c>
      <x:c r="O175" t="str">
        <x:f t="shared" si="26"/>
      </x:c>
      <x:c r="P175" t="str">
        <x:f t="shared" si="27"/>
      </x:c>
      <x:c r="Q175" s="3"/>
      <x:c r="R175" s="3" t="str">
        <x:f t="shared" si="28"/>
      </x:c>
      <x:c r="U175" t="str">
        <x:f t="shared" si="29"/>
        <x:v>Sem data</x:v>
      </x:c>
      <x:c r="X175" s="2">
        <x:v>51482</x:v>
      </x:c>
      <x:c r="BE175" t="str"/>
    </x:row>
    <x:row r="176">
      <x:c r="B176" t="str">
        <x:f>_xlfn.XLOOKUP(TabelaAtivos[[#This Row],[Ambiente]],TabelaAmbientes[Ambiente],TabelaAmbientes[Cod_ambiente],"",0,1)</x:f>
      </x:c>
      <x:c r="D176" t="str">
        <x:f>_xlfn.XLOOKUP(TabelaAtivos[[#This Row],[Ambiente]],TabelaAmbientes[Ambiente],TabelaAmbientes[Zona],"",0,1)</x:f>
      </x:c>
      <x:c r="M176" s="2"/>
      <x:c r="N176" s="2" t="str">
        <x:f t="shared" si="25"/>
      </x:c>
      <x:c r="O176" t="str">
        <x:f t="shared" si="26"/>
      </x:c>
      <x:c r="P176" t="str">
        <x:f t="shared" si="27"/>
      </x:c>
      <x:c r="Q176" s="3"/>
      <x:c r="R176" s="3" t="str">
        <x:f t="shared" si="28"/>
      </x:c>
      <x:c r="U176" t="str">
        <x:f t="shared" si="29"/>
        <x:v>Sem data</x:v>
      </x:c>
      <x:c r="X176" s="2">
        <x:v>51482</x:v>
      </x:c>
      <x:c r="BE176" t="str"/>
    </x:row>
    <x:row r="177">
      <x:c r="B177" t="str">
        <x:f>_xlfn.XLOOKUP(TabelaAtivos[[#This Row],[Ambiente]],TabelaAmbientes[Ambiente],TabelaAmbientes[Cod_ambiente],"",0,1)</x:f>
      </x:c>
      <x:c r="D177" t="str">
        <x:f>_xlfn.XLOOKUP(TabelaAtivos[[#This Row],[Ambiente]],TabelaAmbientes[Ambiente],TabelaAmbientes[Zona],"",0,1)</x:f>
      </x:c>
      <x:c r="M177" s="2"/>
      <x:c r="N177" s="2" t="str">
        <x:f t="shared" si="25"/>
      </x:c>
      <x:c r="O177" t="str">
        <x:f t="shared" si="26"/>
      </x:c>
      <x:c r="P177" t="str">
        <x:f t="shared" si="27"/>
      </x:c>
      <x:c r="Q177" s="3"/>
      <x:c r="R177" s="3" t="str">
        <x:f t="shared" si="28"/>
      </x:c>
      <x:c r="U177" t="str">
        <x:f t="shared" si="29"/>
        <x:v>Sem data</x:v>
      </x:c>
      <x:c r="X177" s="2">
        <x:v>51482</x:v>
      </x:c>
      <x:c r="BE177" t="str"/>
    </x:row>
    <x:row r="178">
      <x:c r="B178" t="str">
        <x:f>_xlfn.XLOOKUP(TabelaAtivos[[#This Row],[Ambiente]],TabelaAmbientes[Ambiente],TabelaAmbientes[Cod_ambiente],"",0,1)</x:f>
      </x:c>
      <x:c r="D178" t="str">
        <x:f>_xlfn.XLOOKUP(TabelaAtivos[[#This Row],[Ambiente]],TabelaAmbientes[Ambiente],TabelaAmbientes[Zona],"",0,1)</x:f>
      </x:c>
      <x:c r="M178" s="2"/>
      <x:c r="N178" s="2" t="str">
        <x:f t="shared" si="25"/>
      </x:c>
      <x:c r="O178" t="str">
        <x:f t="shared" si="26"/>
      </x:c>
      <x:c r="P178" t="str">
        <x:f t="shared" si="27"/>
      </x:c>
      <x:c r="Q178" s="3"/>
      <x:c r="R178" s="3" t="str">
        <x:f t="shared" si="28"/>
      </x:c>
      <x:c r="U178" t="str">
        <x:f t="shared" si="29"/>
        <x:v>Sem data</x:v>
      </x:c>
      <x:c r="X178" s="2">
        <x:v>51482</x:v>
      </x:c>
      <x:c r="BE178" t="str"/>
    </x:row>
    <x:row r="179">
      <x:c r="B179" t="str">
        <x:f>_xlfn.XLOOKUP(TabelaAtivos[[#This Row],[Ambiente]],TabelaAmbientes[Ambiente],TabelaAmbientes[Cod_ambiente],"",0,1)</x:f>
      </x:c>
      <x:c r="D179" t="str">
        <x:f>_xlfn.XLOOKUP(TabelaAtivos[[#This Row],[Ambiente]],TabelaAmbientes[Ambiente],TabelaAmbientes[Zona],"",0,1)</x:f>
      </x:c>
      <x:c r="M179" s="2"/>
      <x:c r="N179" s="2" t="str">
        <x:f t="shared" si="25"/>
      </x:c>
      <x:c r="O179" t="str">
        <x:f t="shared" si="26"/>
      </x:c>
      <x:c r="P179" t="str">
        <x:f t="shared" si="27"/>
      </x:c>
      <x:c r="Q179" s="3"/>
      <x:c r="R179" s="3" t="str">
        <x:f t="shared" si="28"/>
      </x:c>
      <x:c r="U179" t="str">
        <x:f t="shared" si="29"/>
        <x:v>Sem data</x:v>
      </x:c>
      <x:c r="X179" s="2">
        <x:v>51482</x:v>
      </x:c>
      <x:c r="BE179" t="str"/>
    </x:row>
    <x:row r="180">
      <x:c r="B180" t="str">
        <x:f>_xlfn.XLOOKUP(TabelaAtivos[[#This Row],[Ambiente]],TabelaAmbientes[Ambiente],TabelaAmbientes[Cod_ambiente],"",0,1)</x:f>
      </x:c>
      <x:c r="D180" t="str">
        <x:f>_xlfn.XLOOKUP(TabelaAtivos[[#This Row],[Ambiente]],TabelaAmbientes[Ambiente],TabelaAmbientes[Zona],"",0,1)</x:f>
      </x:c>
      <x:c r="M180" s="2"/>
      <x:c r="N180" s="2" t="str">
        <x:f t="shared" si="25"/>
      </x:c>
      <x:c r="O180" t="str">
        <x:f t="shared" si="26"/>
      </x:c>
      <x:c r="P180" t="str">
        <x:f t="shared" si="27"/>
      </x:c>
      <x:c r="Q180" s="3"/>
      <x:c r="R180" s="3" t="str">
        <x:f t="shared" si="28"/>
      </x:c>
      <x:c r="U180" t="str">
        <x:f t="shared" si="29"/>
        <x:v>Sem data</x:v>
      </x:c>
      <x:c r="X180" s="2">
        <x:v>51482</x:v>
      </x:c>
      <x:c r="BE180" t="str"/>
    </x:row>
    <x:row r="181">
      <x:c r="B181" t="str">
        <x:f>_xlfn.XLOOKUP(TabelaAtivos[[#This Row],[Ambiente]],TabelaAmbientes[Ambiente],TabelaAmbientes[Cod_ambiente],"",0,1)</x:f>
      </x:c>
      <x:c r="D181" t="str">
        <x:f>_xlfn.XLOOKUP(TabelaAtivos[[#This Row],[Ambiente]],TabelaAmbientes[Ambiente],TabelaAmbientes[Zona],"",0,1)</x:f>
      </x:c>
      <x:c r="M181" s="2"/>
      <x:c r="N181" s="2" t="str">
        <x:f t="shared" si="25"/>
      </x:c>
      <x:c r="O181" t="str">
        <x:f t="shared" si="26"/>
      </x:c>
      <x:c r="P181" t="str">
        <x:f t="shared" si="27"/>
      </x:c>
      <x:c r="Q181" s="3"/>
      <x:c r="R181" s="3" t="str">
        <x:f t="shared" si="28"/>
      </x:c>
      <x:c r="U181" t="str">
        <x:f t="shared" si="29"/>
        <x:v>Sem data</x:v>
      </x:c>
      <x:c r="X181" s="2">
        <x:v>51482</x:v>
      </x:c>
      <x:c r="BE181" t="str"/>
    </x:row>
    <x:row r="182">
      <x:c r="B182" t="str">
        <x:f>_xlfn.XLOOKUP(TabelaAtivos[[#This Row],[Ambiente]],TabelaAmbientes[Ambiente],TabelaAmbientes[Cod_ambiente],"",0,1)</x:f>
      </x:c>
      <x:c r="D182" t="str">
        <x:f>_xlfn.XLOOKUP(TabelaAtivos[[#This Row],[Ambiente]],TabelaAmbientes[Ambiente],TabelaAmbientes[Zona],"",0,1)</x:f>
      </x:c>
      <x:c r="M182" s="2"/>
      <x:c r="N182" s="2" t="str">
        <x:f t="shared" si="25"/>
      </x:c>
      <x:c r="O182" t="str">
        <x:f t="shared" si="26"/>
      </x:c>
      <x:c r="P182" t="str">
        <x:f t="shared" si="27"/>
      </x:c>
      <x:c r="Q182" s="3"/>
      <x:c r="R182" s="3" t="str">
        <x:f t="shared" si="28"/>
      </x:c>
      <x:c r="U182" t="str">
        <x:f t="shared" si="29"/>
        <x:v>Sem data</x:v>
      </x:c>
      <x:c r="X182" s="2">
        <x:v>51482</x:v>
      </x:c>
      <x:c r="BE182" t="str"/>
    </x:row>
    <x:row r="183">
      <x:c r="B183" t="str">
        <x:f>_xlfn.XLOOKUP(TabelaAtivos[[#This Row],[Ambiente]],TabelaAmbientes[Ambiente],TabelaAmbientes[Cod_ambiente],"",0,1)</x:f>
      </x:c>
      <x:c r="D183" t="str">
        <x:f>_xlfn.XLOOKUP(TabelaAtivos[[#This Row],[Ambiente]],TabelaAmbientes[Ambiente],TabelaAmbientes[Zona],"",0,1)</x:f>
      </x:c>
      <x:c r="M183" s="2"/>
      <x:c r="N183" s="2" t="str">
        <x:f t="shared" si="25"/>
      </x:c>
      <x:c r="O183" t="str">
        <x:f t="shared" si="26"/>
      </x:c>
      <x:c r="P183" t="str">
        <x:f t="shared" si="27"/>
      </x:c>
      <x:c r="Q183" s="3"/>
      <x:c r="R183" s="3" t="str">
        <x:f t="shared" si="28"/>
      </x:c>
      <x:c r="U183" t="str">
        <x:f t="shared" si="29"/>
        <x:v>Sem data</x:v>
      </x:c>
      <x:c r="X183" s="2">
        <x:v>51482</x:v>
      </x:c>
      <x:c r="BE183" t="str"/>
    </x:row>
    <x:row r="184">
      <x:c r="B184" t="str">
        <x:f>_xlfn.XLOOKUP(TabelaAtivos[[#This Row],[Ambiente]],TabelaAmbientes[Ambiente],TabelaAmbientes[Cod_ambiente],"",0,1)</x:f>
      </x:c>
      <x:c r="D184" t="str">
        <x:f>_xlfn.XLOOKUP(TabelaAtivos[[#This Row],[Ambiente]],TabelaAmbientes[Ambiente],TabelaAmbientes[Zona],"",0,1)</x:f>
      </x:c>
      <x:c r="M184" s="2"/>
      <x:c r="N184" s="2" t="str">
        <x:f t="shared" si="25"/>
      </x:c>
      <x:c r="O184" t="str">
        <x:f t="shared" si="26"/>
      </x:c>
      <x:c r="P184" t="str">
        <x:f t="shared" si="27"/>
      </x:c>
      <x:c r="Q184" s="3"/>
      <x:c r="R184" s="3" t="str">
        <x:f t="shared" si="28"/>
      </x:c>
      <x:c r="U184" t="str">
        <x:f t="shared" si="29"/>
        <x:v>Sem data</x:v>
      </x:c>
      <x:c r="X184" s="2">
        <x:v>51482</x:v>
      </x:c>
      <x:c r="BE184" t="str"/>
    </x:row>
    <x:row r="185">
      <x:c r="B185" t="str">
        <x:f>_xlfn.XLOOKUP(TabelaAtivos[[#This Row],[Ambiente]],TabelaAmbientes[Ambiente],TabelaAmbientes[Cod_ambiente],"",0,1)</x:f>
      </x:c>
      <x:c r="D185" t="str">
        <x:f>_xlfn.XLOOKUP(TabelaAtivos[[#This Row],[Ambiente]],TabelaAmbientes[Ambiente],TabelaAmbientes[Zona],"",0,1)</x:f>
      </x:c>
      <x:c r="M185" s="2"/>
      <x:c r="N185" s="2" t="str">
        <x:f t="shared" si="25"/>
      </x:c>
      <x:c r="O185" t="str">
        <x:f t="shared" si="26"/>
      </x:c>
      <x:c r="P185" t="str">
        <x:f t="shared" si="27"/>
      </x:c>
      <x:c r="Q185" s="3"/>
      <x:c r="R185" s="3" t="str">
        <x:f t="shared" si="28"/>
      </x:c>
      <x:c r="U185" t="str">
        <x:f t="shared" si="29"/>
        <x:v>Sem data</x:v>
      </x:c>
      <x:c r="X185" s="2">
        <x:v>51482</x:v>
      </x:c>
      <x:c r="BE185" t="str"/>
    </x:row>
    <x:row r="186">
      <x:c r="B186" t="str">
        <x:f>_xlfn.XLOOKUP(TabelaAtivos[[#This Row],[Ambiente]],TabelaAmbientes[Ambiente],TabelaAmbientes[Cod_ambiente],"",0,1)</x:f>
      </x:c>
      <x:c r="D186" t="str">
        <x:f>_xlfn.XLOOKUP(TabelaAtivos[[#This Row],[Ambiente]],TabelaAmbientes[Ambiente],TabelaAmbientes[Zona],"",0,1)</x:f>
      </x:c>
      <x:c r="M186" s="2"/>
      <x:c r="N186" s="2" t="str">
        <x:f t="shared" si="25"/>
      </x:c>
      <x:c r="O186" t="str">
        <x:f t="shared" si="26"/>
      </x:c>
      <x:c r="P186" t="str">
        <x:f t="shared" si="27"/>
      </x:c>
      <x:c r="Q186" s="3"/>
      <x:c r="R186" s="3" t="str">
        <x:f t="shared" si="28"/>
      </x:c>
      <x:c r="U186" t="str">
        <x:f t="shared" si="29"/>
        <x:v>Sem data</x:v>
      </x:c>
      <x:c r="X186" s="2">
        <x:v>51482</x:v>
      </x:c>
      <x:c r="BE186" t="str"/>
    </x:row>
    <x:row r="187">
      <x:c r="B187" t="str">
        <x:f>_xlfn.XLOOKUP(TabelaAtivos[[#This Row],[Ambiente]],TabelaAmbientes[Ambiente],TabelaAmbientes[Cod_ambiente],"",0,1)</x:f>
      </x:c>
      <x:c r="D187" t="str">
        <x:f>_xlfn.XLOOKUP(TabelaAtivos[[#This Row],[Ambiente]],TabelaAmbientes[Ambiente],TabelaAmbientes[Zona],"",0,1)</x:f>
      </x:c>
      <x:c r="M187" s="2"/>
      <x:c r="N187" s="2" t="str">
        <x:f t="shared" si="25"/>
      </x:c>
      <x:c r="O187" t="str">
        <x:f t="shared" si="26"/>
      </x:c>
      <x:c r="P187" t="str">
        <x:f t="shared" si="27"/>
      </x:c>
      <x:c r="Q187" s="3"/>
      <x:c r="R187" s="3" t="str">
        <x:f t="shared" si="28"/>
      </x:c>
      <x:c r="U187" t="str">
        <x:f t="shared" si="29"/>
        <x:v>Sem data</x:v>
      </x:c>
      <x:c r="X187" s="2">
        <x:v>51482</x:v>
      </x:c>
      <x:c r="BE187" t="str"/>
    </x:row>
    <x:row r="188">
      <x:c r="B188" t="str">
        <x:f>_xlfn.XLOOKUP(TabelaAtivos[[#This Row],[Ambiente]],TabelaAmbientes[Ambiente],TabelaAmbientes[Cod_ambiente],"",0,1)</x:f>
      </x:c>
      <x:c r="D188" t="str">
        <x:f>_xlfn.XLOOKUP(TabelaAtivos[[#This Row],[Ambiente]],TabelaAmbientes[Ambiente],TabelaAmbientes[Zona],"",0,1)</x:f>
      </x:c>
      <x:c r="M188" s="2"/>
      <x:c r="N188" s="2" t="str">
        <x:f t="shared" si="25"/>
      </x:c>
      <x:c r="O188" t="str">
        <x:f t="shared" si="26"/>
      </x:c>
      <x:c r="P188" t="str">
        <x:f t="shared" si="27"/>
      </x:c>
      <x:c r="Q188" s="3"/>
      <x:c r="R188" s="3" t="str">
        <x:f t="shared" si="28"/>
      </x:c>
      <x:c r="U188" t="str">
        <x:f t="shared" si="29"/>
        <x:v>Sem data</x:v>
      </x:c>
      <x:c r="X188" s="2">
        <x:v>51482</x:v>
      </x:c>
      <x:c r="BE188" t="str"/>
    </x:row>
    <x:row r="189">
      <x:c r="B189" t="str">
        <x:f>_xlfn.XLOOKUP(TabelaAtivos[[#This Row],[Ambiente]],TabelaAmbientes[Ambiente],TabelaAmbientes[Cod_ambiente],"",0,1)</x:f>
      </x:c>
      <x:c r="D189" t="str">
        <x:f>_xlfn.XLOOKUP(TabelaAtivos[[#This Row],[Ambiente]],TabelaAmbientes[Ambiente],TabelaAmbientes[Zona],"",0,1)</x:f>
      </x:c>
      <x:c r="M189" s="2"/>
      <x:c r="N189" s="2" t="str">
        <x:f t="shared" si="25"/>
      </x:c>
      <x:c r="O189" t="str">
        <x:f t="shared" si="26"/>
      </x:c>
      <x:c r="P189" t="str">
        <x:f t="shared" si="27"/>
      </x:c>
      <x:c r="Q189" s="3"/>
      <x:c r="R189" s="3" t="str">
        <x:f t="shared" si="28"/>
      </x:c>
      <x:c r="U189" t="str">
        <x:f t="shared" si="29"/>
        <x:v>Sem data</x:v>
      </x:c>
      <x:c r="X189" s="2">
        <x:v>51482</x:v>
      </x:c>
      <x:c r="BE189" t="str"/>
    </x:row>
    <x:row r="190">
      <x:c r="B190" t="str">
        <x:f>_xlfn.XLOOKUP(TabelaAtivos[[#This Row],[Ambiente]],TabelaAmbientes[Ambiente],TabelaAmbientes[Cod_ambiente],"",0,1)</x:f>
      </x:c>
      <x:c r="D190" t="str">
        <x:f>_xlfn.XLOOKUP(TabelaAtivos[[#This Row],[Ambiente]],TabelaAmbientes[Ambiente],TabelaAmbientes[Zona],"",0,1)</x:f>
      </x:c>
      <x:c r="M190" s="2"/>
      <x:c r="N190" s="2" t="str">
        <x:f t="shared" si="25"/>
      </x:c>
      <x:c r="O190" t="str">
        <x:f t="shared" si="26"/>
      </x:c>
      <x:c r="P190" t="str">
        <x:f t="shared" si="27"/>
      </x:c>
      <x:c r="Q190" s="3"/>
      <x:c r="R190" s="3" t="str">
        <x:f t="shared" si="28"/>
      </x:c>
      <x:c r="U190" t="str">
        <x:f t="shared" si="29"/>
        <x:v>Sem data</x:v>
      </x:c>
      <x:c r="X190" s="2">
        <x:v>51482</x:v>
      </x:c>
      <x:c r="BE190" t="str"/>
    </x:row>
    <x:row r="191">
      <x:c r="B191" t="str">
        <x:f>_xlfn.XLOOKUP(TabelaAtivos[[#This Row],[Ambiente]],TabelaAmbientes[Ambiente],TabelaAmbientes[Cod_ambiente],"",0,1)</x:f>
      </x:c>
      <x:c r="D191" t="str">
        <x:f>_xlfn.XLOOKUP(TabelaAtivos[[#This Row],[Ambiente]],TabelaAmbientes[Ambiente],TabelaAmbientes[Zona],"",0,1)</x:f>
      </x:c>
      <x:c r="M191" s="2"/>
      <x:c r="N191" s="2" t="str">
        <x:f t="shared" si="25"/>
      </x:c>
      <x:c r="O191" t="str">
        <x:f t="shared" si="26"/>
      </x:c>
      <x:c r="P191" t="str">
        <x:f t="shared" si="27"/>
      </x:c>
      <x:c r="Q191" s="3"/>
      <x:c r="R191" s="3" t="str">
        <x:f t="shared" si="28"/>
      </x:c>
      <x:c r="U191" t="str">
        <x:f t="shared" si="29"/>
        <x:v>Sem data</x:v>
      </x:c>
      <x:c r="X191" s="2">
        <x:v>51482</x:v>
      </x:c>
      <x:c r="BE191" t="str"/>
    </x:row>
    <x:row r="192">
      <x:c r="B192" t="str">
        <x:f>_xlfn.XLOOKUP(TabelaAtivos[[#This Row],[Ambiente]],TabelaAmbientes[Ambiente],TabelaAmbientes[Cod_ambiente],"",0,1)</x:f>
      </x:c>
      <x:c r="D192" t="str">
        <x:f>_xlfn.XLOOKUP(TabelaAtivos[[#This Row],[Ambiente]],TabelaAmbientes[Ambiente],TabelaAmbientes[Zona],"",0,1)</x:f>
      </x:c>
      <x:c r="M192" s="2"/>
      <x:c r="N192" s="2" t="str">
        <x:f t="shared" si="25"/>
      </x:c>
      <x:c r="O192" t="str">
        <x:f t="shared" si="26"/>
      </x:c>
      <x:c r="P192" t="str">
        <x:f t="shared" si="27"/>
      </x:c>
      <x:c r="Q192" s="3"/>
      <x:c r="R192" s="3" t="str">
        <x:f t="shared" si="28"/>
      </x:c>
      <x:c r="U192" t="str">
        <x:f t="shared" si="29"/>
        <x:v>Sem data</x:v>
      </x:c>
      <x:c r="X192" s="2">
        <x:v>51482</x:v>
      </x:c>
      <x:c r="BE192" t="str"/>
    </x:row>
    <x:row r="193">
      <x:c r="B193" t="str">
        <x:f>_xlfn.XLOOKUP(TabelaAtivos[[#This Row],[Ambiente]],TabelaAmbientes[Ambiente],TabelaAmbientes[Cod_ambiente],"",0,1)</x:f>
      </x:c>
      <x:c r="D193" t="str">
        <x:f>_xlfn.XLOOKUP(TabelaAtivos[[#This Row],[Ambiente]],TabelaAmbientes[Ambiente],TabelaAmbientes[Zona],"",0,1)</x:f>
      </x:c>
      <x:c r="M193" s="2"/>
      <x:c r="N193" s="2" t="str">
        <x:f t="shared" si="25"/>
      </x:c>
      <x:c r="O193" t="str">
        <x:f t="shared" si="26"/>
      </x:c>
      <x:c r="P193" t="str">
        <x:f t="shared" si="27"/>
      </x:c>
      <x:c r="Q193" s="3"/>
      <x:c r="R193" s="3" t="str">
        <x:f t="shared" si="28"/>
      </x:c>
      <x:c r="U193" t="str">
        <x:f t="shared" si="29"/>
        <x:v>Sem data</x:v>
      </x:c>
      <x:c r="X193" s="2">
        <x:v>51482</x:v>
      </x:c>
      <x:c r="BE193" t="str"/>
    </x:row>
    <x:row r="194">
      <x:c r="B194" t="str">
        <x:f>_xlfn.XLOOKUP(TabelaAtivos[[#This Row],[Ambiente]],TabelaAmbientes[Ambiente],TabelaAmbientes[Cod_ambiente],"",0,1)</x:f>
      </x:c>
      <x:c r="D194" t="str">
        <x:f>_xlfn.XLOOKUP(TabelaAtivos[[#This Row],[Ambiente]],TabelaAmbientes[Ambiente],TabelaAmbientes[Zona],"",0,1)</x:f>
      </x:c>
      <x:c r="M194" s="2"/>
      <x:c r="N194" s="2" t="str">
        <x:f t="shared" ref="N194:N200" si="30">IF(M194="","",EDATE(M194,L194))</x:f>
      </x:c>
      <x:c r="O194" t="str">
        <x:f t="shared" ref="O194:O200" si="31">IF(N194="","",YEAR(N194))</x:f>
      </x:c>
      <x:c r="P194" t="str">
        <x:f t="shared" ref="P194:P200" si="32">IF(N194="","",TEXT(N194,"mmm"))</x:f>
      </x:c>
      <x:c r="Q194" s="3"/>
      <x:c r="R194" s="3" t="str">
        <x:f t="shared" ref="R194:R200" si="33">IF(OR(J194="",Q194=""),"",J194*Q194)</x:f>
      </x:c>
      <x:c r="U194" t="str">
        <x:f t="shared" ref="U194:U200" si="34">IF(N194="","Sem data",IF(N194&lt;TODAY(),"Vencido",IF(N194&lt;=TODAY()+30,"Próx. 30 dias",IF(N194&lt;=TODAY()+90,"Próx. 90 dias","Programado"))))</x:f>
        <x:v>Sem data</x:v>
      </x:c>
      <x:c r="X194" s="2">
        <x:v>51482</x:v>
      </x:c>
      <x:c r="BE194" t="str"/>
    </x:row>
    <x:row r="195">
      <x:c r="B195" t="str">
        <x:f>_xlfn.XLOOKUP(TabelaAtivos[[#This Row],[Ambiente]],TabelaAmbientes[Ambiente],TabelaAmbientes[Cod_ambiente],"",0,1)</x:f>
      </x:c>
      <x:c r="D195" t="str">
        <x:f>_xlfn.XLOOKUP(TabelaAtivos[[#This Row],[Ambiente]],TabelaAmbientes[Ambiente],TabelaAmbientes[Zona],"",0,1)</x:f>
      </x:c>
      <x:c r="M195" s="2"/>
      <x:c r="N195" s="2" t="str">
        <x:f t="shared" si="30"/>
      </x:c>
      <x:c r="O195" t="str">
        <x:f t="shared" si="31"/>
      </x:c>
      <x:c r="P195" t="str">
        <x:f t="shared" si="32"/>
      </x:c>
      <x:c r="Q195" s="3"/>
      <x:c r="R195" s="3" t="str">
        <x:f t="shared" si="33"/>
      </x:c>
      <x:c r="U195" t="str">
        <x:f t="shared" si="34"/>
        <x:v>Sem data</x:v>
      </x:c>
      <x:c r="X195" s="2">
        <x:v>51482</x:v>
      </x:c>
      <x:c r="BE195" t="str"/>
    </x:row>
    <x:row r="196">
      <x:c r="B196" t="str">
        <x:f>_xlfn.XLOOKUP(TabelaAtivos[[#This Row],[Ambiente]],TabelaAmbientes[Ambiente],TabelaAmbientes[Cod_ambiente],"",0,1)</x:f>
      </x:c>
      <x:c r="D196" t="str">
        <x:f>_xlfn.XLOOKUP(TabelaAtivos[[#This Row],[Ambiente]],TabelaAmbientes[Ambiente],TabelaAmbientes[Zona],"",0,1)</x:f>
      </x:c>
      <x:c r="M196" s="2"/>
      <x:c r="N196" s="2" t="str">
        <x:f t="shared" si="30"/>
      </x:c>
      <x:c r="O196" t="str">
        <x:f t="shared" si="31"/>
      </x:c>
      <x:c r="P196" t="str">
        <x:f t="shared" si="32"/>
      </x:c>
      <x:c r="Q196" s="3"/>
      <x:c r="R196" s="3" t="str">
        <x:f t="shared" si="33"/>
      </x:c>
      <x:c r="U196" t="str">
        <x:f t="shared" si="34"/>
        <x:v>Sem data</x:v>
      </x:c>
      <x:c r="X196" s="2">
        <x:v>51482</x:v>
      </x:c>
      <x:c r="BE196" t="str"/>
    </x:row>
    <x:row r="197">
      <x:c r="B197" t="str">
        <x:f>_xlfn.XLOOKUP(TabelaAtivos[[#This Row],[Ambiente]],TabelaAmbientes[Ambiente],TabelaAmbientes[Cod_ambiente],"",0,1)</x:f>
      </x:c>
      <x:c r="D197" t="str">
        <x:f>_xlfn.XLOOKUP(TabelaAtivos[[#This Row],[Ambiente]],TabelaAmbientes[Ambiente],TabelaAmbientes[Zona],"",0,1)</x:f>
      </x:c>
      <x:c r="M197" s="2"/>
      <x:c r="N197" s="2" t="str">
        <x:f t="shared" si="30"/>
      </x:c>
      <x:c r="O197" t="str">
        <x:f t="shared" si="31"/>
      </x:c>
      <x:c r="P197" t="str">
        <x:f t="shared" si="32"/>
      </x:c>
      <x:c r="Q197" s="3"/>
      <x:c r="R197" s="3" t="str">
        <x:f t="shared" si="33"/>
      </x:c>
      <x:c r="U197" t="str">
        <x:f t="shared" si="34"/>
        <x:v>Sem data</x:v>
      </x:c>
      <x:c r="X197" s="2">
        <x:v>51482</x:v>
      </x:c>
      <x:c r="BE197" t="str"/>
    </x:row>
    <x:row r="198">
      <x:c r="B198" t="str">
        <x:f>_xlfn.XLOOKUP(TabelaAtivos[[#This Row],[Ambiente]],TabelaAmbientes[Ambiente],TabelaAmbientes[Cod_ambiente],"",0,1)</x:f>
      </x:c>
      <x:c r="D198" t="str">
        <x:f>_xlfn.XLOOKUP(TabelaAtivos[[#This Row],[Ambiente]],TabelaAmbientes[Ambiente],TabelaAmbientes[Zona],"",0,1)</x:f>
      </x:c>
      <x:c r="M198" s="2"/>
      <x:c r="N198" s="2" t="str">
        <x:f t="shared" si="30"/>
      </x:c>
      <x:c r="O198" t="str">
        <x:f t="shared" si="31"/>
      </x:c>
      <x:c r="P198" t="str">
        <x:f t="shared" si="32"/>
      </x:c>
      <x:c r="Q198" s="3"/>
      <x:c r="R198" s="3" t="str">
        <x:f t="shared" si="33"/>
      </x:c>
      <x:c r="U198" t="str">
        <x:f t="shared" si="34"/>
        <x:v>Sem data</x:v>
      </x:c>
      <x:c r="X198" s="2">
        <x:v>51482</x:v>
      </x:c>
      <x:c r="BE198" t="str"/>
    </x:row>
    <x:row r="199">
      <x:c r="B199" t="str">
        <x:f>_xlfn.XLOOKUP(TabelaAtivos[[#This Row],[Ambiente]],TabelaAmbientes[Ambiente],TabelaAmbientes[Cod_ambiente],"",0,1)</x:f>
      </x:c>
      <x:c r="D199" t="str">
        <x:f>_xlfn.XLOOKUP(TabelaAtivos[[#This Row],[Ambiente]],TabelaAmbientes[Ambiente],TabelaAmbientes[Zona],"",0,1)</x:f>
      </x:c>
      <x:c r="M199" s="2"/>
      <x:c r="N199" s="2" t="str">
        <x:f t="shared" si="30"/>
      </x:c>
      <x:c r="O199" t="str">
        <x:f t="shared" si="31"/>
      </x:c>
      <x:c r="P199" t="str">
        <x:f t="shared" si="32"/>
      </x:c>
      <x:c r="Q199" s="3"/>
      <x:c r="R199" s="3" t="str">
        <x:f t="shared" si="33"/>
      </x:c>
      <x:c r="U199" t="str">
        <x:f t="shared" si="34"/>
        <x:v>Sem data</x:v>
      </x:c>
      <x:c r="X199" s="2">
        <x:v>51482</x:v>
      </x:c>
      <x:c r="BE199" t="str"/>
    </x:row>
    <x:row r="200">
      <x:c r="B200" t="str">
        <x:f>_xlfn.XLOOKUP(TabelaAtivos[[#This Row],[Ambiente]],TabelaAmbientes[Ambiente],TabelaAmbientes[Cod_ambiente],"",0,1)</x:f>
      </x:c>
      <x:c r="D200" t="str">
        <x:f>_xlfn.XLOOKUP(TabelaAtivos[[#This Row],[Ambiente]],TabelaAmbientes[Ambiente],TabelaAmbientes[Zona],"",0,1)</x:f>
      </x:c>
      <x:c r="M200" s="2"/>
      <x:c r="N200" s="2" t="str">
        <x:f t="shared" si="30"/>
      </x:c>
      <x:c r="O200" t="str">
        <x:f t="shared" si="31"/>
      </x:c>
      <x:c r="P200" t="str">
        <x:f t="shared" si="32"/>
      </x:c>
      <x:c r="Q200" s="3"/>
      <x:c r="R200" s="3" t="str">
        <x:f t="shared" si="33"/>
      </x:c>
      <x:c r="U200" t="str">
        <x:f t="shared" si="34"/>
        <x:v>Sem data</x:v>
      </x:c>
      <x:c r="X200" s="2">
        <x:v>51482</x:v>
      </x:c>
      <x:c r="BE200" t="str"/>
    </x:row>
  </x:sheetData>
  <x:conditionalFormatting sqref="S2:S200">
    <x:cfRule type="expression" dxfId="7" priority="4">
      <x:formula>S2="Alta"</x:formula>
    </x:cfRule>
    <x:cfRule type="expression" dxfId="6" priority="5">
      <x:formula>S2="Crítica"</x:formula>
    </x:cfRule>
  </x:conditionalFormatting>
  <x:conditionalFormatting sqref="U2:U200">
    <x:cfRule type="expression" dxfId="5" priority="1">
      <x:formula>U2="Vencido"</x:formula>
    </x:cfRule>
    <x:cfRule type="expression" dxfId="4" priority="2">
      <x:formula>U2="Próx. 30 dias"</x:formula>
    </x:cfRule>
    <x:cfRule type="expression" dxfId="3" priority="3">
      <x:formula>U2="Próx. 90 dias"</x:formula>
    </x:cfRule>
  </x:conditionalFormatting>
  <x:dataValidations count="1">
    <x:dataValidation type="list" allowBlank="1" showInputMessage="1" showErrorMessage="1" sqref="F2:G200">
      <x:formula1>Sub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4cf6ac4db04a40"/>
  </x:tableParts>
</x:worksheet>
</file>

<file path=xl/worksheets/sheet4.xml><?xml version="1.0" encoding="utf-8"?>
<x:worksheet xmlns:x="http://schemas.openxmlformats.org/spreadsheetml/2006/main">
  <x:sheetFormatPr defaultRowHeight="14.25"/>
  <x:cols>
    <x:col min="1" max="1" width="14.5" customWidth="1"/>
    <x:col min="2" max="2" width="17.875" customWidth="1"/>
    <x:col min="3" max="3" width="9.125" customWidth="1"/>
    <x:col min="4" max="4" width="12.25" customWidth="1"/>
    <x:col min="6" max="6" width="13.375" customWidth="1"/>
  </x:cols>
  <x:sheetData>
    <x:row r="1" ht="15">
      <x:c r="A1" s="1" t="s">
        <x:v>65</x:v>
      </x:c>
      <x:c r="B1" s="1" t="s">
        <x:v>8</x:v>
      </x:c>
      <x:c r="C1" s="1" t="s">
        <x:v>66</x:v>
      </x:c>
      <x:c r="D1" s="1" t="s">
        <x:v>159</x:v>
      </x:c>
      <x:c r="E1" s="4"/>
      <x:c r="F1" s="1" t="s">
        <x:v>160</x:v>
      </x:c>
    </x:row>
    <x:row r="2">
      <x:c r="A2" t="s">
        <x:v>161</x:v>
      </x:c>
      <x:c r="B2" t="s">
        <x:v>11</x:v>
      </x:c>
      <x:c r="C2" t="s">
        <x:v>162</x:v>
      </x:c>
      <x:c r="F2" t="s">
        <x:v>162</x:v>
      </x:c>
    </x:row>
    <x:row r="3">
      <x:c r="A3" t="s">
        <x:v>163</x:v>
      </x:c>
      <x:c r="B3" t="s">
        <x:v>14</x:v>
      </x:c>
      <x:c r="C3" t="s">
        <x:v>162</x:v>
      </x:c>
      <x:c r="F3" t="s">
        <x:v>164</x:v>
      </x:c>
    </x:row>
    <x:row r="4">
      <x:c r="A4" t="s">
        <x:v>165</x:v>
      </x:c>
      <x:c r="B4" t="s">
        <x:v>17</x:v>
      </x:c>
      <x:c r="C4" t="s">
        <x:v>162</x:v>
      </x:c>
      <x:c r="F4" t="s">
        <x:v>166</x:v>
      </x:c>
    </x:row>
    <x:row r="5">
      <x:c r="A5" t="s">
        <x:v>167</x:v>
      </x:c>
      <x:c r="B5" t="s">
        <x:v>20</x:v>
      </x:c>
      <x:c r="C5" t="s">
        <x:v>162</x:v>
      </x:c>
      <x:c r="F5" t="s">
        <x:v>168</x:v>
      </x:c>
    </x:row>
    <x:row r="6">
      <x:c r="A6" t="s">
        <x:v>169</x:v>
      </x:c>
      <x:c r="B6" t="s">
        <x:v>22</x:v>
      </x:c>
      <x:c r="C6" t="s">
        <x:v>162</x:v>
      </x:c>
      <x:c r="F6" t="s">
        <x:v>170</x:v>
      </x:c>
    </x:row>
    <x:row r="7">
      <x:c r="A7" t="s">
        <x:v>171</x:v>
      </x:c>
      <x:c r="B7" t="s">
        <x:v>24</x:v>
      </x:c>
      <x:c r="C7" t="s">
        <x:v>162</x:v>
      </x:c>
    </x:row>
    <x:row r="8">
      <x:c r="A8" t="s">
        <x:v>172</x:v>
      </x:c>
      <x:c r="B8" t="s">
        <x:v>27</x:v>
      </x:c>
      <x:c r="C8" t="s">
        <x:v>164</x:v>
      </x:c>
    </x:row>
    <x:row r="9">
      <x:c r="A9" t="s">
        <x:v>173</x:v>
      </x:c>
      <x:c r="B9" t="s">
        <x:v>31</x:v>
      </x:c>
      <x:c r="C9" t="s">
        <x:v>164</x:v>
      </x:c>
    </x:row>
    <x:row r="10">
      <x:c r="A10" t="s">
        <x:v>174</x:v>
      </x:c>
      <x:c r="B10" t="s">
        <x:v>33</x:v>
      </x:c>
      <x:c r="C10" t="s">
        <x:v>166</x:v>
      </x:c>
    </x:row>
    <x:row r="11">
      <x:c r="A11" t="s">
        <x:v>175</x:v>
      </x:c>
      <x:c r="B11" t="s">
        <x:v>35</x:v>
      </x:c>
      <x:c r="C11" t="s">
        <x:v>166</x:v>
      </x:c>
    </x:row>
    <x:row r="12">
      <x:c r="A12" t="s">
        <x:v>176</x:v>
      </x:c>
      <x:c r="B12" t="s">
        <x:v>37</x:v>
      </x:c>
      <x:c r="C12" t="s">
        <x:v>166</x:v>
      </x:c>
    </x:row>
    <x:row r="13">
      <x:c r="A13" t="s">
        <x:v>177</x:v>
      </x:c>
      <x:c r="B13" t="s">
        <x:v>39</x:v>
      </x:c>
      <x:c r="C13" t="s">
        <x:v>168</x:v>
      </x:c>
    </x:row>
    <x:row r="14">
      <x:c r="A14" t="s">
        <x:v>178</x:v>
      </x:c>
      <x:c r="B14" t="s">
        <x:v>40</x:v>
      </x:c>
      <x:c r="C14" t="s">
        <x:v>168</x:v>
      </x:c>
    </x:row>
    <x:row r="15">
      <x:c r="A15" t="s">
        <x:v>179</x:v>
      </x:c>
      <x:c r="B15" t="s">
        <x:v>41</x:v>
      </x:c>
      <x:c r="C15" t="s">
        <x:v>168</x:v>
      </x:c>
    </x:row>
    <x:row r="16">
      <x:c r="A16" t="s">
        <x:v>180</x:v>
      </x:c>
      <x:c r="B16" t="s">
        <x:v>181</x:v>
      </x:c>
      <x:c r="C16" t="s">
        <x:v>168</x:v>
      </x:c>
    </x:row>
    <x:row r="17">
      <x:c r="A17" t="s">
        <x:v>182</x:v>
      </x:c>
      <x:c r="B17" t="s">
        <x:v>43</x:v>
      </x:c>
      <x:c r="C17" t="s">
        <x:v>168</x:v>
      </x:c>
    </x:row>
    <x:row r="18">
      <x:c r="A18" t="s">
        <x:v>183</x:v>
      </x:c>
      <x:c r="B18" t="s">
        <x:v>157</x:v>
      </x:c>
      <x:c r="C18" t="s">
        <x:v>170</x:v>
      </x:c>
    </x:row>
    <x:row r="19">
      <x:c r="A19" t="s">
        <x:v>184</x:v>
      </x:c>
    </x:row>
  </x:sheetData>
  <x:dataValidations count="1">
    <x:dataValidation type="list" allowBlank="1" showInputMessage="1" showErrorMessage="1" sqref="C2:C18">
      <x:formula1>$F$2:$F$6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1aef90df5f2a4e46"/>
    <x:tablePart xmlns:r="http://schemas.openxmlformats.org/officeDocument/2006/relationships" r:id="R396701ad1b7d43fd"/>
  </x:tableParts>
</x:worksheet>
</file>

<file path=xl/worksheets/sheet5.xml><?xml version="1.0" encoding="utf-8"?>
<x:worksheet xmlns:x="http://schemas.openxmlformats.org/spreadsheetml/2006/main">
  <x:sheetFormatPr defaultRowHeight="14.25"/>
  <x:cols>
    <x:col min="1" max="1" width="13" customWidth="1"/>
    <x:col min="2" max="2" width="14.25" customWidth="1"/>
    <x:col min="3" max="3" width="13.625" customWidth="1"/>
  </x:cols>
  <x:sheetData>
    <x:row r="1" ht="15">
      <x:c r="A1" s="1" t="s">
        <x:v>185</x:v>
      </x:c>
      <x:c r="B1" s="1" t="s">
        <x:v>6</x:v>
      </x:c>
      <x:c r="C1" s="1" t="s">
        <x:v>67</x:v>
      </x:c>
      <x:c r="D1" s="4"/>
      <x:c r="E1" s="4"/>
      <x:c r="F1" s="4"/>
      <x:c r="G1" s="4"/>
      <x:c r="H1" s="4"/>
      <x:c r="I1" s="4"/>
      <x:c r="J1" s="4"/>
      <x:c r="K1" s="4"/>
    </x:row>
    <x:row r="2">
      <x:c r="A2" t="s">
        <x:v>186</x:v>
      </x:c>
      <x:c r="B2" t="s">
        <x:v>26</x:v>
      </x:c>
      <x:c r="C2" t="s">
        <x:v>86</x:v>
      </x:c>
      <x:c r="G2" t="str" cm="1">
        <x:f t="array" ref="G2:G21">_xlfn._xlws.FILTER(TabelaSistemas[Subsistema],TabelaSistemas[Sistema]=Ativos!E2,"")</x:f>
        <x:v>Água fria</x:v>
      </x:c>
    </x:row>
    <x:row r="3">
      <x:c r="A3" t="s">
        <x:v>186</x:v>
      </x:c>
      <x:c r="B3" t="s">
        <x:v>26</x:v>
      </x:c>
      <x:c r="C3" t="s">
        <x:v>187</x:v>
      </x:c>
      <x:c r="G3" t="str">
        <x:v>Água quente</x:v>
      </x:c>
    </x:row>
    <x:row r="4">
      <x:c r="A4" t="s">
        <x:v>188</x:v>
      </x:c>
      <x:c r="B4" t="s">
        <x:v>19</x:v>
      </x:c>
      <x:c r="C4" t="s">
        <x:v>96</x:v>
      </x:c>
      <x:c r="G4" t="str">
        <x:v>Esgoto sanitário</x:v>
      </x:c>
    </x:row>
    <x:row r="5">
      <x:c r="A5" t="s">
        <x:v>189</x:v>
      </x:c>
      <x:c r="B5" t="s">
        <x:v>13</x:v>
      </x:c>
      <x:c r="C5" t="s">
        <x:v>190</x:v>
      </x:c>
      <x:c r="G5" t="str" cm="1"/>
    </x:row>
    <x:row r="6">
      <x:c r="A6" t="s">
        <x:v>191</x:v>
      </x:c>
      <x:c r="B6" t="s">
        <x:v>16</x:v>
      </x:c>
      <x:c r="C6" t="s">
        <x:v>116</x:v>
      </x:c>
      <x:c r="G6" t="str">
        <x:v>Quadro</x:v>
      </x:c>
    </x:row>
    <x:row r="7">
      <x:c r="A7" t="s">
        <x:v>191</x:v>
      </x:c>
      <x:c r="B7" t="s">
        <x:v>16</x:v>
      </x:c>
      <x:c r="C7" t="s">
        <x:v>123</x:v>
      </x:c>
      <x:c r="G7" t="str" cm="1"/>
    </x:row>
    <x:row r="8">
      <x:c r="A8" t="s">
        <x:v>192</x:v>
      </x:c>
      <x:c r="B8" t="s">
        <x:v>30</x:v>
      </x:c>
      <x:c r="C8" t="s">
        <x:v>193</x:v>
      </x:c>
      <x:c r="G8" t="str" cm="1"/>
    </x:row>
    <x:row r="9">
      <x:c r="A9" t="s">
        <x:v>194</x:v>
      </x:c>
      <x:c r="B9" t="s">
        <x:v>10</x:v>
      </x:c>
      <x:c r="C9" t="s">
        <x:v>105</x:v>
      </x:c>
      <x:c r="G9" t="str">
        <x:v>Split</x:v>
      </x:c>
    </x:row>
    <x:row r="10">
      <x:c r="A10" t="s">
        <x:v>195</x:v>
      </x:c>
      <x:c r="B10" t="s">
        <x:v>23</x:v>
      </x:c>
      <x:c r="C10" t="s">
        <x:v>128</x:v>
      </x:c>
      <x:c r="G10" t="str">
        <x:v>Tubulação/ponto</x:v>
      </x:c>
    </x:row>
    <x:row r="11">
      <x:c r="A11" t="s">
        <x:v>196</x:v>
      </x:c>
      <x:c r="B11" t="s">
        <x:v>34</x:v>
      </x:c>
      <x:c r="C11" t="s">
        <x:v>134</x:v>
      </x:c>
      <x:c r="G11" t="str">
        <x:v>Interna</x:v>
      </x:c>
    </x:row>
    <x:row r="12">
      <x:c r="A12" t="s">
        <x:v>196</x:v>
      </x:c>
      <x:c r="B12" t="s">
        <x:v>34</x:v>
      </x:c>
      <x:c r="C12" t="s">
        <x:v>197</x:v>
      </x:c>
      <x:c r="G12" t="str">
        <x:v>Externa</x:v>
      </x:c>
    </x:row>
    <x:row r="13">
      <x:c r="A13" t="s">
        <x:v>198</x:v>
      </x:c>
      <x:c r="B13" t="s">
        <x:v>36</x:v>
      </x:c>
      <x:c r="C13" t="s">
        <x:v>141</x:v>
      </x:c>
      <x:c r="G13" t="str">
        <x:v>Piso</x:v>
      </x:c>
    </x:row>
    <x:row r="14">
      <x:c r="A14" t="s">
        <x:v>198</x:v>
      </x:c>
      <x:c r="B14" t="s">
        <x:v>36</x:v>
      </x:c>
      <x:c r="C14" t="s">
        <x:v>199</x:v>
      </x:c>
      <x:c r="G14" t="str">
        <x:v>Parede</x:v>
      </x:c>
    </x:row>
    <x:row r="15">
      <x:c r="A15" t="s">
        <x:v>200</x:v>
      </x:c>
      <x:c r="B15" t="s">
        <x:v>21</x:v>
      </x:c>
      <x:c r="C15" t="s">
        <x:v>201</x:v>
      </x:c>
      <x:c r="G15" t="str">
        <x:v>Portas</x:v>
      </x:c>
    </x:row>
    <x:row r="16">
      <x:c r="A16" t="s">
        <x:v>200</x:v>
      </x:c>
      <x:c r="B16" t="s">
        <x:v>21</x:v>
      </x:c>
      <x:c r="C16" t="s">
        <x:v>146</x:v>
      </x:c>
      <x:c r="G16" t="str">
        <x:v>Janelas</x:v>
      </x:c>
    </x:row>
    <x:row r="17">
      <x:c r="A17" t="s">
        <x:v>202</x:v>
      </x:c>
      <x:c r="B17" t="s">
        <x:v>32</x:v>
      </x:c>
      <x:c r="C17" t="s">
        <x:v>152</x:v>
      </x:c>
      <x:c r="G17" t="str">
        <x:v>Armários</x:v>
      </x:c>
    </x:row>
    <x:row r="18">
      <x:c r="A18" t="s">
        <x:v>203</x:v>
      </x:c>
      <x:c r="B18" t="s">
        <x:v>38</x:v>
      </x:c>
      <x:c r="C18" t="s">
        <x:v>204</x:v>
      </x:c>
      <x:c r="G18" t="str">
        <x:v>Fechaduras</x:v>
      </x:c>
    </x:row>
    <x:row r="19">
      <x:c r="G19" t="n">
        <x:v>0</x:v>
      </x:c>
    </x:row>
    <x:row r="20">
      <x:c r="G20" t="n">
        <x:v>0</x:v>
      </x:c>
    </x:row>
    <x:row r="21">
      <x:c r="G21" t="n">
        <x:v>0</x:v>
      </x:c>
    </x:row>
  </x:sheetData>
  <x:dataValidations count="1">
    <x:dataValidation type="list" allowBlank="1" showInputMessage="1" showErrorMessage="1" sqref="F2">
      <x:formula1>Sub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70c21429134ed8"/>
  </x:tableParts>
</x:worksheet>
</file>

<file path=xl/worksheets/sheet6.xml><?xml version="1.0" encoding="utf-8"?>
<x:worksheet xmlns:x="http://schemas.openxmlformats.org/spreadsheetml/2006/main">
  <x:sheetFormatPr defaultRowHeight="14.25"/>
  <x:cols>
    <x:col min="1" max="1" width="14.25" customWidth="1"/>
    <x:col min="2" max="2" width="13.375" customWidth="1"/>
    <x:col min="3" max="3" width="23" customWidth="1"/>
    <x:col min="4" max="4" width="21.625" customWidth="1"/>
    <x:col min="5" max="5" width="19.875" customWidth="1"/>
    <x:col min="6" max="6" width="16.375" customWidth="1"/>
    <x:col min="7" max="7" width="21.625" customWidth="1"/>
  </x:cols>
  <x:sheetData>
    <x:row r="1" ht="30">
      <x:c r="A1" s="1" t="s">
        <x:v>6</x:v>
      </x:c>
      <x:c r="B1" s="1" t="s">
        <x:v>68</x:v>
      </x:c>
      <x:c r="C1" s="1" t="s">
        <x:v>69</x:v>
      </x:c>
      <x:c r="D1" s="1" t="s">
        <x:v>205</x:v>
      </x:c>
      <x:c r="E1" s="1" t="s">
        <x:v>73</x:v>
      </x:c>
      <x:c r="F1" s="1" t="s">
        <x:v>206</x:v>
      </x:c>
      <x:c r="G1" s="1" t="s">
        <x:v>207</x:v>
      </x:c>
      <x:c r="H1" s="4"/>
      <x:c r="I1" s="4"/>
      <x:c r="J1" s="4"/>
      <x:c r="K1" s="4"/>
    </x:row>
    <x:row r="2">
      <x:c r="A2" t="s">
        <x:v>26</x:v>
      </x:c>
      <x:c r="B2" t="s">
        <x:v>87</x:v>
      </x:c>
      <x:c r="C2" t="s">
        <x:v>88</x:v>
      </x:c>
      <x:c r="D2" t="s">
        <x:v>89</x:v>
      </x:c>
      <x:c r="E2">
        <x:v>12</x:v>
      </x:c>
      <x:c r="F2">
        <x:v>150</x:v>
      </x:c>
      <x:c r="G2" t="s">
        <x:v>93</x:v>
      </x:c>
    </x:row>
    <x:row r="3">
      <x:c r="A3" t="s">
        <x:v>19</x:v>
      </x:c>
      <x:c r="B3" t="s">
        <x:v>87</x:v>
      </x:c>
      <x:c r="C3" t="s">
        <x:v>97</x:v>
      </x:c>
      <x:c r="D3" t="s">
        <x:v>98</x:v>
      </x:c>
      <x:c r="E3">
        <x:v>12</x:v>
      </x:c>
      <x:c r="F3">
        <x:v>80</x:v>
      </x:c>
      <x:c r="G3" t="s">
        <x:v>93</x:v>
      </x:c>
    </x:row>
    <x:row r="4">
      <x:c r="A4" t="s">
        <x:v>26</x:v>
      </x:c>
      <x:c r="B4" t="s">
        <x:v>101</x:v>
      </x:c>
      <x:c r="C4" t="s">
        <x:v>102</x:v>
      </x:c>
      <x:c r="D4" t="s">
        <x:v>103</x:v>
      </x:c>
      <x:c r="E4">
        <x:v>12</x:v>
      </x:c>
      <x:c r="F4">
        <x:v>150</x:v>
      </x:c>
      <x:c r="G4" t="s">
        <x:v>93</x:v>
      </x:c>
    </x:row>
    <x:row r="5">
      <x:c r="A5" t="s">
        <x:v>26</x:v>
      </x:c>
      <x:c r="B5" t="s">
        <x:v>208</x:v>
      </x:c>
      <x:c r="C5" t="s">
        <x:v>209</x:v>
      </x:c>
      <x:c r="D5" t="s">
        <x:v>119</x:v>
      </x:c>
      <x:c r="E5">
        <x:v>12</x:v>
      </x:c>
      <x:c r="F5">
        <x:v>120</x:v>
      </x:c>
      <x:c r="G5" t="s">
        <x:v>93</x:v>
      </x:c>
    </x:row>
    <x:row r="6">
      <x:c r="A6" t="s">
        <x:v>13</x:v>
      </x:c>
      <x:c r="B6" t="s">
        <x:v>210</x:v>
      </x:c>
      <x:c r="C6" t="s">
        <x:v>211</x:v>
      </x:c>
      <x:c r="D6" t="s">
        <x:v>212</x:v>
      </x:c>
      <x:c r="E6">
        <x:v>6</x:v>
      </x:c>
      <x:c r="F6">
        <x:v>80</x:v>
      </x:c>
      <x:c r="G6" t="s">
        <x:v>93</x:v>
      </x:c>
    </x:row>
    <x:row r="7">
      <x:c r="A7" t="s">
        <x:v>16</x:v>
      </x:c>
      <x:c r="B7" t="s">
        <x:v>116</x:v>
      </x:c>
      <x:c r="C7" t="s">
        <x:v>118</x:v>
      </x:c>
      <x:c r="D7" t="s">
        <x:v>119</x:v>
      </x:c>
      <x:c r="E7">
        <x:v>24</x:v>
      </x:c>
      <x:c r="F7">
        <x:v>250</x:v>
      </x:c>
      <x:c r="G7" t="s">
        <x:v>120</x:v>
      </x:c>
    </x:row>
    <x:row r="8">
      <x:c r="A8" t="s">
        <x:v>16</x:v>
      </x:c>
      <x:c r="B8" t="s">
        <x:v>123</x:v>
      </x:c>
      <x:c r="C8" t="s">
        <x:v>125</x:v>
      </x:c>
      <x:c r="D8" t="s">
        <x:v>119</x:v>
      </x:c>
      <x:c r="E8">
        <x:v>24</x:v>
      </x:c>
      <x:c r="F8">
        <x:v>100</x:v>
      </x:c>
      <x:c r="G8" t="s">
        <x:v>120</x:v>
      </x:c>
    </x:row>
    <x:row r="9">
      <x:c r="A9" t="s">
        <x:v>30</x:v>
      </x:c>
      <x:c r="B9" t="s">
        <x:v>213</x:v>
      </x:c>
      <x:c r="C9" t="s">
        <x:v>214</x:v>
      </x:c>
      <x:c r="D9" t="s">
        <x:v>215</x:v>
      </x:c>
      <x:c r="E9">
        <x:v>24</x:v>
      </x:c>
      <x:c r="F9">
        <x:v>120</x:v>
      </x:c>
      <x:c r="G9" t="s">
        <x:v>120</x:v>
      </x:c>
    </x:row>
    <x:row r="10">
      <x:c r="A10" t="s">
        <x:v>10</x:v>
      </x:c>
      <x:c r="B10" t="s">
        <x:v>106</x:v>
      </x:c>
      <x:c r="C10" t="s">
        <x:v>107</x:v>
      </x:c>
      <x:c r="D10" t="s">
        <x:v>108</x:v>
      </x:c>
      <x:c r="E10">
        <x:v>6</x:v>
      </x:c>
      <x:c r="F10">
        <x:v>180</x:v>
      </x:c>
      <x:c r="G10" t="s">
        <x:v>111</x:v>
      </x:c>
    </x:row>
    <x:row r="11">
      <x:c r="A11" t="s">
        <x:v>23</x:v>
      </x:c>
      <x:c r="B11" t="s">
        <x:v>129</x:v>
      </x:c>
      <x:c r="C11" t="s">
        <x:v>130</x:v>
      </x:c>
      <x:c r="D11" t="s">
        <x:v>131</x:v>
      </x:c>
      <x:c r="E11">
        <x:v>12</x:v>
      </x:c>
      <x:c r="F11">
        <x:v>180</x:v>
      </x:c>
      <x:c r="G11" t="s">
        <x:v>132</x:v>
      </x:c>
    </x:row>
    <x:row r="12">
      <x:c r="A12" t="s">
        <x:v>34</x:v>
      </x:c>
      <x:c r="B12" t="s">
        <x:v>135</x:v>
      </x:c>
      <x:c r="C12" t="s">
        <x:v>34</x:v>
      </x:c>
      <x:c r="D12" t="s">
        <x:v>136</x:v>
      </x:c>
      <x:c r="E12">
        <x:v>48</x:v>
      </x:c>
      <x:c r="F12">
        <x:v>2500</x:v>
      </x:c>
      <x:c r="G12" t="s">
        <x:v>138</x:v>
      </x:c>
    </x:row>
    <x:row r="13">
      <x:c r="A13" t="s">
        <x:v>36</x:v>
      </x:c>
      <x:c r="B13" t="s">
        <x:v>141</x:v>
      </x:c>
      <x:c r="C13" t="s">
        <x:v>142</x:v>
      </x:c>
      <x:c r="D13" t="s">
        <x:v>143</x:v>
      </x:c>
      <x:c r="E13">
        <x:v>36</x:v>
      </x:c>
      <x:c r="F13">
        <x:v>600</x:v>
      </x:c>
      <x:c r="G13" t="s">
        <x:v>144</x:v>
      </x:c>
    </x:row>
    <x:row r="14">
      <x:c r="A14" t="s">
        <x:v>21</x:v>
      </x:c>
      <x:c r="B14" t="s">
        <x:v>216</x:v>
      </x:c>
      <x:c r="C14" t="s">
        <x:v>148</x:v>
      </x:c>
      <x:c r="D14" t="s">
        <x:v>149</x:v>
      </x:c>
      <x:c r="E14">
        <x:v>12</x:v>
      </x:c>
      <x:c r="F14">
        <x:v>120</x:v>
      </x:c>
      <x:c r="G14" t="s">
        <x:v>150</x:v>
      </x:c>
    </x:row>
    <x:row r="15">
      <x:c r="A15" t="s">
        <x:v>32</x:v>
      </x:c>
      <x:c r="B15" t="s">
        <x:v>152</x:v>
      </x:c>
      <x:c r="C15" t="s">
        <x:v>154</x:v>
      </x:c>
      <x:c r="D15" t="s">
        <x:v>155</x:v>
      </x:c>
      <x:c r="E15">
        <x:v>12</x:v>
      </x:c>
      <x:c r="F15">
        <x:v>150</x:v>
      </x:c>
      <x:c r="G15" t="s">
        <x:v>156</x:v>
      </x:c>
    </x:row>
    <x:row r="16">
      <x:c r="A16" t="s">
        <x:v>38</x:v>
      </x:c>
      <x:c r="B16" t="s">
        <x:v>217</x:v>
      </x:c>
      <x:c r="C16" t="s">
        <x:v>218</x:v>
      </x:c>
      <x:c r="D16" t="s">
        <x:v>219</x:v>
      </x:c>
      <x:c r="E16">
        <x:v>12</x:v>
      </x:c>
      <x:c r="F16">
        <x:v>80</x:v>
      </x:c>
      <x:c r="G16" t="s">
        <x:v>220</x:v>
      </x:c>
    </x:row>
  </x:sheetData>
  <x:pageMargins left="0.7" right="0.7" top="0.75" bottom="0.75" header="0.3" footer="0.3"/>
  <x:tableParts count="1">
    <x:tablePart xmlns:r="http://schemas.openxmlformats.org/officeDocument/2006/relationships" r:id="R127c00b3de0440da"/>
  </x:tableParts>
</x:worksheet>
</file>

<file path=xl/worksheets/sheet7.xml><?xml version="1.0" encoding="utf-8"?>
<x:worksheet xmlns:x="http://schemas.openxmlformats.org/spreadsheetml/2006/main">
  <x:sheetFormatPr defaultRowHeight="14.25"/>
  <x:cols>
    <x:col min="1" max="1" width="18" customWidth="1"/>
    <x:col min="2" max="4" width="12" customWidth="1"/>
    <x:col min="5" max="8" width="18" customWidth="1"/>
    <x:col min="9" max="11" width="16" customWidth="1"/>
  </x:cols>
  <x:sheetData>
    <x:row r="1" ht="30">
      <x:c r="A1" s="1" t="s">
        <x:v>64</x:v>
      </x:c>
      <x:c r="B1" s="1" t="s">
        <x:v>75</x:v>
      </x:c>
      <x:c r="C1" s="1" t="s">
        <x:v>28</x:v>
      </x:c>
      <x:c r="D1" s="1" t="s">
        <x:v>76</x:v>
      </x:c>
      <x:c r="E1" s="1" t="s">
        <x:v>8</x:v>
      </x:c>
      <x:c r="F1" s="1" t="s">
        <x:v>6</x:v>
      </x:c>
      <x:c r="G1" s="1" t="s">
        <x:v>68</x:v>
      </x:c>
      <x:c r="H1" s="1" t="s">
        <x:v>70</x:v>
      </x:c>
      <x:c r="I1" s="1" t="s">
        <x:v>79</x:v>
      </x:c>
      <x:c r="J1" s="1" t="s">
        <x:v>81</x:v>
      </x:c>
      <x:c r="K1" s="1" t="s">
        <x:v>78</x:v>
      </x:c>
    </x:row>
    <x:row r="2">
      <x:c r="A2" t="str">
        <x:f>Ativos!A2</x:f>
        <x:v>HID-S2B-001</x:v>
      </x:c>
      <x:c r="B2" s="2" t="n">
        <x:f>Ativos!N2</x:f>
        <x:v>46032</x:v>
      </x:c>
      <x:c r="C2" t="n">
        <x:f>Ativos!O2</x:f>
        <x:v>2026</x:v>
      </x:c>
      <x:c r="D2" t="str">
        <x:f>Ativos!P2</x:f>
        <x:v>Jan</x:v>
      </x:c>
      <x:c r="E2" t="str">
        <x:f>Ativos!C2</x:f>
        <x:v>Banheiro suíte 2</x:v>
      </x:c>
      <x:c r="F2" t="str">
        <x:f>Ativos!E2</x:f>
        <x:v>Hidráulico</x:v>
      </x:c>
      <x:c r="G2" t="str">
        <x:f>Ativos!G2</x:f>
        <x:v>Lavatório</x:v>
      </x:c>
      <x:c r="H2" t="str">
        <x:f>Ativos!I2</x:f>
        <x:v>Inspeção / troca de reparo</x:v>
      </x:c>
      <x:c r="I2" t="str">
        <x:f>Ativos!S2</x:f>
        <x:v>Média</x:v>
      </x:c>
      <x:c r="J2" t="str">
        <x:f>Ativos!U2</x:f>
        <x:v>Vencido</x:v>
      </x:c>
      <x:c r="K2" s="3" t="n">
        <x:f>Ativos!R2</x:f>
        <x:v>150</x:v>
      </x:c>
    </x:row>
    <x:row r="3">
      <x:c r="A3" t="str">
        <x:f>Ativos!A3</x:f>
        <x:v>ESG-S2B-001</x:v>
      </x:c>
      <x:c r="B3" s="2" t="n">
        <x:f>Ativos!N3</x:f>
        <x:v>46032</x:v>
      </x:c>
      <x:c r="C3" t="n">
        <x:f>Ativos!O3</x:f>
        <x:v>2026</x:v>
      </x:c>
      <x:c r="D3" t="str">
        <x:f>Ativos!P3</x:f>
        <x:v>jan</x:v>
      </x:c>
      <x:c r="E3" t="str">
        <x:f>Ativos!C3</x:f>
        <x:v>Banheiro suíte 2</x:v>
      </x:c>
      <x:c r="F3" t="str">
        <x:f>Ativos!E3</x:f>
        <x:v>Esgoto</x:v>
      </x:c>
      <x:c r="G3" t="str">
        <x:f>Ativos!G3</x:f>
        <x:v>Lavatório</x:v>
      </x:c>
      <x:c r="H3" t="str">
        <x:f>Ativos!I3</x:f>
        <x:v>Limpeza / inspeção</x:v>
      </x:c>
      <x:c r="I3" t="str">
        <x:f>Ativos!S3</x:f>
        <x:v>Baixa</x:v>
      </x:c>
      <x:c r="J3" t="str">
        <x:f>Ativos!U3</x:f>
        <x:v>Vencido</x:v>
      </x:c>
      <x:c r="K3" s="3" t="n">
        <x:f>Ativos!R3</x:f>
        <x:v>80</x:v>
      </x:c>
    </x:row>
    <x:row r="4">
      <x:c r="A4" t="str">
        <x:f>Ativos!A4</x:f>
        <x:v>HID-S2B-002</x:v>
      </x:c>
      <x:c r="B4" s="2" t="n">
        <x:f>Ativos!N4</x:f>
        <x:v>46032</x:v>
      </x:c>
      <x:c r="C4" t="n">
        <x:f>Ativos!O4</x:f>
        <x:v>2026</x:v>
      </x:c>
      <x:c r="D4" t="str">
        <x:f>Ativos!P4</x:f>
        <x:v>jan</x:v>
      </x:c>
      <x:c r="E4" t="str">
        <x:f>Ativos!C4</x:f>
        <x:v>Banheiro suíte 2</x:v>
      </x:c>
      <x:c r="F4" t="str">
        <x:f>Ativos!E4</x:f>
        <x:v>Hidráulico</x:v>
      </x:c>
      <x:c r="G4" t="str">
        <x:f>Ativos!G4</x:f>
        <x:v>Bacia sanitária</x:v>
      </x:c>
      <x:c r="H4" t="str">
        <x:f>Ativos!I4</x:f>
        <x:v>Inspeção / regulagem</x:v>
      </x:c>
      <x:c r="I4" t="str">
        <x:f>Ativos!S4</x:f>
        <x:v>Média</x:v>
      </x:c>
      <x:c r="J4" t="str">
        <x:f>Ativos!U4</x:f>
        <x:v>Vencido</x:v>
      </x:c>
      <x:c r="K4" s="3" t="n">
        <x:f>Ativos!R4</x:f>
        <x:v>150</x:v>
      </x:c>
    </x:row>
    <x:row r="5">
      <x:c r="A5" t="str">
        <x:f>Ativos!A5</x:f>
        <x:v>CLI-SALA-001</x:v>
      </x:c>
      <x:c r="B5" s="2" t="n">
        <x:f>Ativos!N5</x:f>
        <x:v>45848</x:v>
      </x:c>
      <x:c r="C5" t="n">
        <x:f>Ativos!O5</x:f>
        <x:v>2025</x:v>
      </x:c>
      <x:c r="D5" t="str">
        <x:f>Ativos!P5</x:f>
        <x:v>jul</x:v>
      </x:c>
      <x:c r="E5" t="str">
        <x:f>Ativos!C5</x:f>
        <x:v>Sala</x:v>
      </x:c>
      <x:c r="F5" t="str">
        <x:f>Ativos!E5</x:f>
        <x:v>Climatização</x:v>
      </x:c>
      <x:c r="G5" t="str">
        <x:f>Ativos!G5</x:f>
        <x:v>Ar-condicionado</x:v>
      </x:c>
      <x:c r="H5" t="str">
        <x:f>Ativos!I5</x:f>
        <x:v>Limpeza preventiva</x:v>
      </x:c>
      <x:c r="I5" t="str">
        <x:f>Ativos!S5</x:f>
        <x:v>Alta</x:v>
      </x:c>
      <x:c r="J5" t="str">
        <x:f>Ativos!U5</x:f>
        <x:v>Vencido</x:v>
      </x:c>
      <x:c r="K5" s="3" t="n">
        <x:f>Ativos!R5</x:f>
        <x:v>180</x:v>
      </x:c>
    </x:row>
    <x:row r="6">
      <x:c r="A6" t="str">
        <x:f>Ativos!A6</x:f>
        <x:v>CLI-S1-001</x:v>
      </x:c>
      <x:c r="B6" s="2" t="n">
        <x:f>Ativos!N6</x:f>
        <x:v>45848</x:v>
      </x:c>
      <x:c r="C6" t="n">
        <x:f>Ativos!O6</x:f>
        <x:v>2025</x:v>
      </x:c>
      <x:c r="D6" t="str">
        <x:f>Ativos!P6</x:f>
        <x:v>jul</x:v>
      </x:c>
      <x:c r="E6" t="str">
        <x:f>Ativos!C6</x:f>
        <x:v>Suíte 1</x:v>
      </x:c>
      <x:c r="F6" t="str">
        <x:f>Ativos!E6</x:f>
        <x:v>Climatização</x:v>
      </x:c>
      <x:c r="G6" t="str">
        <x:f>Ativos!G6</x:f>
        <x:v>Ar-condicionado</x:v>
      </x:c>
      <x:c r="H6" t="str">
        <x:f>Ativos!I6</x:f>
        <x:v>Limpeza preventiva</x:v>
      </x:c>
      <x:c r="I6" t="str">
        <x:f>Ativos!S6</x:f>
        <x:v>Alta</x:v>
      </x:c>
      <x:c r="J6" t="str">
        <x:f>Ativos!U6</x:f>
        <x:v>Vencido</x:v>
      </x:c>
      <x:c r="K6" s="3" t="n">
        <x:f>Ativos!R6</x:f>
        <x:v>180</x:v>
      </x:c>
    </x:row>
    <x:row r="7">
      <x:c r="A7" t="str">
        <x:f>Ativos!A7</x:f>
        <x:v>CLI-S2-001</x:v>
      </x:c>
      <x:c r="B7" s="2" t="n">
        <x:f>Ativos!N7</x:f>
        <x:v>45848</x:v>
      </x:c>
      <x:c r="C7" t="n">
        <x:f>Ativos!O7</x:f>
        <x:v>2025</x:v>
      </x:c>
      <x:c r="D7" t="str">
        <x:f>Ativos!P7</x:f>
        <x:v>jul</x:v>
      </x:c>
      <x:c r="E7" t="str">
        <x:f>Ativos!C7</x:f>
        <x:v>Suíte 2</x:v>
      </x:c>
      <x:c r="F7" t="str">
        <x:f>Ativos!E7</x:f>
        <x:v>Climatização</x:v>
      </x:c>
      <x:c r="G7" t="str">
        <x:f>Ativos!G7</x:f>
        <x:v>Ar-condicionado</x:v>
      </x:c>
      <x:c r="H7" t="str">
        <x:f>Ativos!I7</x:f>
        <x:v>Limpeza preventiva</x:v>
      </x:c>
      <x:c r="I7" t="str">
        <x:f>Ativos!S7</x:f>
        <x:v>Alta</x:v>
      </x:c>
      <x:c r="J7" t="str">
        <x:f>Ativos!U7</x:f>
        <x:v>Vencido</x:v>
      </x:c>
      <x:c r="K7" s="3" t="n">
        <x:f>Ativos!R7</x:f>
        <x:v>180</x:v>
      </x:c>
    </x:row>
    <x:row r="8">
      <x:c r="A8" t="str">
        <x:f>Ativos!A8</x:f>
        <x:v>CLI-S3-001</x:v>
      </x:c>
      <x:c r="B8" s="2" t="n">
        <x:f>Ativos!N8</x:f>
        <x:v>45848</x:v>
      </x:c>
      <x:c r="C8" t="n">
        <x:f>Ativos!O8</x:f>
        <x:v>2025</x:v>
      </x:c>
      <x:c r="D8" t="str">
        <x:f>Ativos!P8</x:f>
        <x:v>jul</x:v>
      </x:c>
      <x:c r="E8" t="str">
        <x:f>Ativos!C8</x:f>
        <x:v>Suíte 3</x:v>
      </x:c>
      <x:c r="F8" t="str">
        <x:f>Ativos!E8</x:f>
        <x:v>Climatização</x:v>
      </x:c>
      <x:c r="G8" t="str">
        <x:f>Ativos!G8</x:f>
        <x:v>Ar-condicionado</x:v>
      </x:c>
      <x:c r="H8" t="str">
        <x:f>Ativos!I8</x:f>
        <x:v>Limpeza preventiva</x:v>
      </x:c>
      <x:c r="I8" t="str">
        <x:f>Ativos!S8</x:f>
        <x:v>Alta</x:v>
      </x:c>
      <x:c r="J8" t="str">
        <x:f>Ativos!U8</x:f>
        <x:v>Vencido</x:v>
      </x:c>
      <x:c r="K8" s="3" t="n">
        <x:f>Ativos!R8</x:f>
        <x:v>180</x:v>
      </x:c>
    </x:row>
    <x:row r="9">
      <x:c r="A9" t="str">
        <x:f>Ativos!A9</x:f>
        <x:v>ELE-APT-001</x:v>
      </x:c>
      <x:c r="B9" s="2" t="n">
        <x:f>Ativos!N9</x:f>
        <x:v>46397</x:v>
      </x:c>
      <x:c r="C9" t="n">
        <x:f>Ativos!O9</x:f>
        <x:v>2027</x:v>
      </x:c>
      <x:c r="D9" t="str">
        <x:f>Ativos!P9</x:f>
        <x:v>jan</x:v>
      </x:c>
      <x:c r="E9" t="str">
        <x:f>Ativos!C9</x:f>
        <x:v>Sala</x:v>
      </x:c>
      <x:c r="F9" t="str">
        <x:f>Ativos!E9</x:f>
        <x:v>Elétrico</x:v>
      </x:c>
      <x:c r="G9" t="str">
        <x:f>Ativos!G9</x:f>
        <x:v>Quadro elétrico</x:v>
      </x:c>
      <x:c r="H9" t="str">
        <x:f>Ativos!I9</x:f>
        <x:v>Inspeção</x:v>
      </x:c>
      <x:c r="I9" t="str">
        <x:f>Ativos!S9</x:f>
        <x:v>Média</x:v>
      </x:c>
      <x:c r="J9" t="str">
        <x:f>Ativos!U9</x:f>
        <x:v>Programado</x:v>
      </x:c>
      <x:c r="K9" s="3" t="n">
        <x:f>Ativos!R9</x:f>
        <x:v>20000</x:v>
      </x:c>
    </x:row>
    <x:row r="10">
      <x:c r="A10" t="str">
        <x:f>Ativos!A10</x:f>
        <x:v>ELE-ESC1-001</x:v>
      </x:c>
      <x:c r="B10" s="2" t="n">
        <x:f>Ativos!N10</x:f>
        <x:v>46397</x:v>
      </x:c>
      <x:c r="C10" t="n">
        <x:f>Ativos!O10</x:f>
        <x:v>2027</x:v>
      </x:c>
      <x:c r="D10" t="str">
        <x:f>Ativos!P10</x:f>
        <x:v>jan</x:v>
      </x:c>
      <x:c r="E10" t="str">
        <x:f>Ativos!C10</x:f>
        <x:v>Escritório 1</x:v>
      </x:c>
      <x:c r="F10" t="str">
        <x:f>Ativos!E10</x:f>
        <x:v>Elétrico</x:v>
      </x:c>
      <x:c r="G10" t="str">
        <x:f>Ativos!G10</x:f>
        <x:v>Tomadas gerais</x:v>
      </x:c>
      <x:c r="H10" t="str">
        <x:f>Ativos!I10</x:f>
        <x:v>Inspeção</x:v>
      </x:c>
      <x:c r="I10" t="str">
        <x:f>Ativos!S10</x:f>
        <x:v>Baixa</x:v>
      </x:c>
      <x:c r="J10" t="str">
        <x:f>Ativos!U10</x:f>
        <x:v>Programado</x:v>
      </x:c>
      <x:c r="K10" s="3" t="n">
        <x:f>Ativos!R10</x:f>
        <x:v>100</x:v>
      </x:c>
    </x:row>
    <x:row r="11">
      <x:c r="A11" t="str">
        <x:f>Ativos!A11</x:f>
        <x:v>GAS-COPA-001</x:v>
      </x:c>
      <x:c r="B11" s="2" t="n">
        <x:f>Ativos!N11</x:f>
        <x:v>46032</x:v>
      </x:c>
      <x:c r="C11" t="n">
        <x:f>Ativos!O11</x:f>
        <x:v>2026</x:v>
      </x:c>
      <x:c r="D11" t="str">
        <x:f>Ativos!P11</x:f>
        <x:v>jan</x:v>
      </x:c>
      <x:c r="E11" t="str">
        <x:f>Ativos!C11</x:f>
        <x:v>Copa/cozinha</x:v>
      </x:c>
      <x:c r="F11" t="str">
        <x:f>Ativos!E11</x:f>
        <x:v>Gás</x:v>
      </x:c>
      <x:c r="G11" t="str">
        <x:f>Ativos!G11</x:f>
        <x:v>Ponto de gás</x:v>
      </x:c>
      <x:c r="H11" t="str">
        <x:f>Ativos!I11</x:f>
        <x:v>Inspeção / troca preventiva</x:v>
      </x:c>
      <x:c r="I11" t="str">
        <x:f>Ativos!S11</x:f>
        <x:v>Alta</x:v>
      </x:c>
      <x:c r="J11" t="str">
        <x:f>Ativos!U11</x:f>
        <x:v>Vencido</x:v>
      </x:c>
      <x:c r="K11" s="3" t="n">
        <x:f>Ativos!R11</x:f>
        <x:v>180</x:v>
      </x:c>
    </x:row>
    <x:row r="12">
      <x:c r="A12" t="str">
        <x:f>Ativos!A12</x:f>
        <x:v>PIN-SALA-001</x:v>
      </x:c>
      <x:c r="B12" s="2" t="n">
        <x:f>Ativos!N12</x:f>
        <x:v>46762</x:v>
      </x:c>
      <x:c r="C12" t="n">
        <x:f>Ativos!O12</x:f>
        <x:v>2028</x:v>
      </x:c>
      <x:c r="D12" t="str">
        <x:f>Ativos!P12</x:f>
        <x:v>jan</x:v>
      </x:c>
      <x:c r="E12" t="str">
        <x:f>Ativos!C12</x:f>
        <x:v>Sala</x:v>
      </x:c>
      <x:c r="F12" t="str">
        <x:f>Ativos!E12</x:f>
        <x:v>Pintura</x:v>
      </x:c>
      <x:c r="G12" t="str">
        <x:f>Ativos!G12</x:f>
        <x:v>Paredes internas</x:v>
      </x:c>
      <x:c r="H12" t="str">
        <x:f>Ativos!I12</x:f>
        <x:v>Repintura</x:v>
      </x:c>
      <x:c r="I12" t="str">
        <x:f>Ativos!S12</x:f>
        <x:v>Média</x:v>
      </x:c>
      <x:c r="J12" t="str">
        <x:f>Ativos!U12</x:f>
        <x:v>Programado</x:v>
      </x:c>
      <x:c r="K12" s="3" t="n">
        <x:f>Ativos!R12</x:f>
        <x:v>2500</x:v>
      </x:c>
    </x:row>
    <x:row r="13">
      <x:c r="A13" t="str">
        <x:f>Ativos!A13</x:f>
        <x:v>REV-VAR-001</x:v>
      </x:c>
      <x:c r="B13" s="2" t="n">
        <x:f>Ativos!N13</x:f>
        <x:v>46397</x:v>
      </x:c>
      <x:c r="C13" t="n">
        <x:f>Ativos!O13</x:f>
        <x:v>2027</x:v>
      </x:c>
      <x:c r="D13" t="str">
        <x:f>Ativos!P13</x:f>
        <x:v>jan</x:v>
      </x:c>
      <x:c r="E13" t="str">
        <x:f>Ativos!C13</x:f>
        <x:v>Varanda</x:v>
      </x:c>
      <x:c r="F13" t="str">
        <x:f>Ativos!E13</x:f>
        <x:v>Revestimentos</x:v>
      </x:c>
      <x:c r="G13" t="str">
        <x:f>Ativos!G13</x:f>
        <x:v>Piso</x:v>
      </x:c>
      <x:c r="H13" t="str">
        <x:f>Ativos!I13</x:f>
        <x:v>Inspeção / recomposição</x:v>
      </x:c>
      <x:c r="I13" t="str">
        <x:f>Ativos!S13</x:f>
        <x:v>Média</x:v>
      </x:c>
      <x:c r="J13" t="str">
        <x:f>Ativos!U13</x:f>
        <x:v>Programado</x:v>
      </x:c>
      <x:c r="K13" s="3" t="n">
        <x:f>Ativos!R13</x:f>
        <x:v>600</x:v>
      </x:c>
    </x:row>
    <x:row r="14">
      <x:c r="A14" t="str">
        <x:f>Ativos!A14</x:f>
        <x:v>ESQ-VAR-001</x:v>
      </x:c>
      <x:c r="B14" s="2" t="n">
        <x:f>Ativos!N14</x:f>
        <x:v>46032</x:v>
      </x:c>
      <x:c r="C14" t="n">
        <x:f>Ativos!O14</x:f>
        <x:v>2026</x:v>
      </x:c>
      <x:c r="D14" t="str">
        <x:f>Ativos!P14</x:f>
        <x:v>jan</x:v>
      </x:c>
      <x:c r="E14" t="str">
        <x:f>Ativos!C14</x:f>
        <x:v>Varanda</x:v>
      </x:c>
      <x:c r="F14" t="str">
        <x:f>Ativos!E14</x:f>
        <x:v>Esquadrias</x:v>
      </x:c>
      <x:c r="G14" t="str">
        <x:f>Ativos!G14</x:f>
        <x:v>Esquadria da varanda</x:v>
      </x:c>
      <x:c r="H14" t="str">
        <x:f>Ativos!I14</x:f>
        <x:v>Limpeza / regulagem</x:v>
      </x:c>
      <x:c r="I14" t="str">
        <x:f>Ativos!S14</x:f>
        <x:v>Média</x:v>
      </x:c>
      <x:c r="J14" t="str">
        <x:f>Ativos!U14</x:f>
        <x:v>Vencido</x:v>
      </x:c>
      <x:c r="K14" s="3" t="n">
        <x:f>Ativos!R14</x:f>
        <x:v>120</x:v>
      </x:c>
    </x:row>
    <x:row r="15">
      <x:c r="A15" t="str">
        <x:f>Ativos!A15</x:f>
        <x:v>MAR-COPA-001</x:v>
      </x:c>
      <x:c r="B15" s="2" t="n">
        <x:f>Ativos!N15</x:f>
        <x:v>46032</x:v>
      </x:c>
      <x:c r="C15" t="n">
        <x:f>Ativos!O15</x:f>
        <x:v>2026</x:v>
      </x:c>
      <x:c r="D15" t="str">
        <x:f>Ativos!P15</x:f>
        <x:v>jan</x:v>
      </x:c>
      <x:c r="E15" t="str">
        <x:f>Ativos!C15</x:f>
        <x:v>Copa/cozinha</x:v>
      </x:c>
      <x:c r="F15" t="str">
        <x:f>Ativos!E15</x:f>
        <x:v>Marcenaria</x:v>
      </x:c>
      <x:c r="G15" t="str">
        <x:f>Ativos!G15</x:f>
        <x:v>Armários da cozinha</x:v>
      </x:c>
      <x:c r="H15" t="str">
        <x:f>Ativos!I15</x:f>
        <x:v>Regulagem</x:v>
      </x:c>
      <x:c r="I15" t="str">
        <x:f>Ativos!S15</x:f>
        <x:v>Baixa</x:v>
      </x:c>
      <x:c r="J15" t="str">
        <x:f>Ativos!U15</x:f>
        <x:v>Vencido</x:v>
      </x:c>
      <x:c r="K15" s="3" t="n">
        <x:f>Ativos!R15</x:f>
        <x:v>150</x:v>
      </x:c>
    </x:row>
    <x:row r="16">
      <x:c r="A16" t="n">
        <x:f>Ativos!A16</x:f>
        <x:v>0</x:v>
      </x:c>
      <x:c r="B16" s="2" t="n">
        <x:f>Ativos!N16</x:f>
        <x:v>47493</x:v>
      </x:c>
      <x:c r="C16" t="n">
        <x:f>Ativos!O16</x:f>
        <x:v>2030</x:v>
      </x:c>
      <x:c r="D16" t="str">
        <x:f>Ativos!P16</x:f>
        <x:v>jan</x:v>
      </x:c>
      <x:c r="E16" t="str">
        <x:f>Ativos!C16</x:f>
        <x:v>Externo</x:v>
      </x:c>
      <x:c r="F16" t="str">
        <x:f>Ativos!E16</x:f>
        <x:v>Revestimentos</x:v>
      </x:c>
      <x:c r="G16" t="str">
        <x:f>Ativos!G16</x:f>
        <x:v>fachada</x:v>
      </x:c>
      <x:c r="H16" t="n">
        <x:f>Ativos!I16</x:f>
        <x:v>0</x:v>
      </x:c>
      <x:c r="I16" t="n">
        <x:f>Ativos!S16</x:f>
        <x:v>0</x:v>
      </x:c>
      <x:c r="J16" t="str">
        <x:f>Ativos!U16</x:f>
        <x:v>Programado</x:v>
      </x:c>
      <x:c r="K16" s="3" t="n">
        <x:f>Ativos!R16</x:f>
        <x:v>50000</x:v>
      </x:c>
    </x:row>
    <x:row r="17">
      <x:c r="A17" t="n">
        <x:f>Ativos!A17</x:f>
        <x:v>0</x:v>
      </x:c>
      <x:c r="B17" s="2" t="n">
        <x:f>Ativos!N17</x:f>
        <x:v>0</x:v>
      </x:c>
      <x:c r="C17" t="n">
        <x:f>Ativos!O17</x:f>
        <x:v>0</x:v>
      </x:c>
      <x:c r="D17" t="n">
        <x:f>Ativos!P17</x:f>
        <x:v>0</x:v>
      </x:c>
      <x:c r="E17" t="n">
        <x:f>Ativos!C17</x:f>
        <x:v>0</x:v>
      </x:c>
      <x:c r="F17" t="n">
        <x:f>Ativos!E17</x:f>
        <x:v>0</x:v>
      </x:c>
      <x:c r="G17" t="n">
        <x:f>Ativos!G17</x:f>
        <x:v>0</x:v>
      </x:c>
      <x:c r="H17" t="n">
        <x:f>Ativos!I17</x:f>
        <x:v>0</x:v>
      </x:c>
      <x:c r="I17" t="n">
        <x:f>Ativos!S17</x:f>
        <x:v>0</x:v>
      </x:c>
      <x:c r="J17" t="str">
        <x:f>Ativos!U17</x:f>
        <x:v>Sem data</x:v>
      </x:c>
      <x:c r="K17" s="3" t="n">
        <x:f>Ativos!R17</x:f>
        <x:v>0</x:v>
      </x:c>
    </x:row>
    <x:row r="18">
      <x:c r="A18" t="n">
        <x:f>Ativos!A18</x:f>
        <x:v>0</x:v>
      </x:c>
      <x:c r="B18" s="2" t="n">
        <x:f>Ativos!N18</x:f>
        <x:v>0</x:v>
      </x:c>
      <x:c r="C18" t="n">
        <x:f>Ativos!O18</x:f>
        <x:v>0</x:v>
      </x:c>
      <x:c r="D18" t="n">
        <x:f>Ativos!P18</x:f>
        <x:v>0</x:v>
      </x:c>
      <x:c r="E18" t="n">
        <x:f>Ativos!C18</x:f>
        <x:v>0</x:v>
      </x:c>
      <x:c r="F18" t="n">
        <x:f>Ativos!E18</x:f>
        <x:v>0</x:v>
      </x:c>
      <x:c r="G18" t="n">
        <x:f>Ativos!G18</x:f>
        <x:v>0</x:v>
      </x:c>
      <x:c r="H18" t="n">
        <x:f>Ativos!I18</x:f>
        <x:v>0</x:v>
      </x:c>
      <x:c r="I18" t="n">
        <x:f>Ativos!S18</x:f>
        <x:v>0</x:v>
      </x:c>
      <x:c r="J18" t="str">
        <x:f>Ativos!U18</x:f>
        <x:v>Sem data</x:v>
      </x:c>
      <x:c r="K18" s="3" t="n">
        <x:f>Ativos!R18</x:f>
        <x:v>0</x:v>
      </x:c>
    </x:row>
    <x:row r="19">
      <x:c r="A19" t="n">
        <x:f>Ativos!A19</x:f>
        <x:v>0</x:v>
      </x:c>
      <x:c r="B19" s="2" t="n">
        <x:f>Ativos!N19</x:f>
        <x:v>0</x:v>
      </x:c>
      <x:c r="C19" t="n">
        <x:f>Ativos!O19</x:f>
        <x:v>0</x:v>
      </x:c>
      <x:c r="D19" t="n">
        <x:f>Ativos!P19</x:f>
        <x:v>0</x:v>
      </x:c>
      <x:c r="E19" t="n">
        <x:f>Ativos!C19</x:f>
        <x:v>0</x:v>
      </x:c>
      <x:c r="F19" t="n">
        <x:f>Ativos!E19</x:f>
        <x:v>0</x:v>
      </x:c>
      <x:c r="G19" t="n">
        <x:f>Ativos!G19</x:f>
        <x:v>0</x:v>
      </x:c>
      <x:c r="H19" t="n">
        <x:f>Ativos!I19</x:f>
        <x:v>0</x:v>
      </x:c>
      <x:c r="I19" t="n">
        <x:f>Ativos!S19</x:f>
        <x:v>0</x:v>
      </x:c>
      <x:c r="J19" t="str">
        <x:f>Ativos!U19</x:f>
        <x:v>Sem data</x:v>
      </x:c>
      <x:c r="K19" s="3" t="n">
        <x:f>Ativos!R19</x:f>
        <x:v>0</x:v>
      </x:c>
    </x:row>
    <x:row r="20">
      <x:c r="A20" t="n">
        <x:f>Ativos!A20</x:f>
        <x:v>0</x:v>
      </x:c>
      <x:c r="B20" s="2" t="n">
        <x:f>Ativos!N20</x:f>
        <x:v>0</x:v>
      </x:c>
      <x:c r="C20" t="n">
        <x:f>Ativos!O20</x:f>
        <x:v>0</x:v>
      </x:c>
      <x:c r="D20" t="n">
        <x:f>Ativos!P20</x:f>
        <x:v>0</x:v>
      </x:c>
      <x:c r="E20" t="str">
        <x:f>Ativos!C20</x:f>
        <x:v>Suíte dependência</x:v>
      </x:c>
      <x:c r="F20" t="n">
        <x:f>Ativos!E20</x:f>
        <x:v>0</x:v>
      </x:c>
      <x:c r="G20" t="n">
        <x:f>Ativos!G20</x:f>
        <x:v>0</x:v>
      </x:c>
      <x:c r="H20" t="n">
        <x:f>Ativos!I20</x:f>
        <x:v>0</x:v>
      </x:c>
      <x:c r="I20" t="n">
        <x:f>Ativos!S20</x:f>
        <x:v>0</x:v>
      </x:c>
      <x:c r="J20" t="str">
        <x:f>Ativos!U20</x:f>
        <x:v>Sem data</x:v>
      </x:c>
      <x:c r="K20" s="3" t="n">
        <x:f>Ativos!R20</x:f>
        <x:v>0</x:v>
      </x:c>
    </x:row>
    <x:row r="21">
      <x:c r="A21" t="n">
        <x:f>Ativos!A21</x:f>
        <x:v>0</x:v>
      </x:c>
      <x:c r="B21" s="2" t="n">
        <x:f>Ativos!N21</x:f>
        <x:v>0</x:v>
      </x:c>
      <x:c r="C21" t="n">
        <x:f>Ativos!O21</x:f>
        <x:v>0</x:v>
      </x:c>
      <x:c r="D21" t="n">
        <x:f>Ativos!P21</x:f>
        <x:v>0</x:v>
      </x:c>
      <x:c r="E21" t="n">
        <x:f>Ativos!C21</x:f>
        <x:v>0</x:v>
      </x:c>
      <x:c r="F21" t="n">
        <x:f>Ativos!E21</x:f>
        <x:v>0</x:v>
      </x:c>
      <x:c r="G21" t="n">
        <x:f>Ativos!G21</x:f>
        <x:v>0</x:v>
      </x:c>
      <x:c r="H21" t="n">
        <x:f>Ativos!I21</x:f>
        <x:v>0</x:v>
      </x:c>
      <x:c r="I21" t="n">
        <x:f>Ativos!S21</x:f>
        <x:v>0</x:v>
      </x:c>
      <x:c r="J21" t="str">
        <x:f>Ativos!U21</x:f>
        <x:v>Sem data</x:v>
      </x:c>
      <x:c r="K21" s="3" t="n">
        <x:f>Ativos!R21</x:f>
        <x:v>0</x:v>
      </x:c>
    </x:row>
    <x:row r="22">
      <x:c r="A22" t="n">
        <x:f>Ativos!A22</x:f>
        <x:v>0</x:v>
      </x:c>
      <x:c r="B22" s="2" t="n">
        <x:f>Ativos!N22</x:f>
        <x:v>0</x:v>
      </x:c>
      <x:c r="C22" t="n">
        <x:f>Ativos!O22</x:f>
        <x:v>0</x:v>
      </x:c>
      <x:c r="D22" t="n">
        <x:f>Ativos!P22</x:f>
        <x:v>0</x:v>
      </x:c>
      <x:c r="E22" t="n">
        <x:f>Ativos!C22</x:f>
        <x:v>0</x:v>
      </x:c>
      <x:c r="F22" t="n">
        <x:f>Ativos!E22</x:f>
        <x:v>0</x:v>
      </x:c>
      <x:c r="G22" t="n">
        <x:f>Ativos!G22</x:f>
        <x:v>0</x:v>
      </x:c>
      <x:c r="H22" t="n">
        <x:f>Ativos!I22</x:f>
        <x:v>0</x:v>
      </x:c>
      <x:c r="I22" t="n">
        <x:f>Ativos!S22</x:f>
        <x:v>0</x:v>
      </x:c>
      <x:c r="J22" t="str">
        <x:f>Ativos!U22</x:f>
        <x:v>Sem data</x:v>
      </x:c>
      <x:c r="K22" s="3" t="n">
        <x:f>Ativos!R22</x:f>
        <x:v>0</x:v>
      </x:c>
    </x:row>
    <x:row r="23">
      <x:c r="A23" t="n">
        <x:f>Ativos!A23</x:f>
        <x:v>0</x:v>
      </x:c>
      <x:c r="B23" s="2" t="n">
        <x:f>Ativos!N23</x:f>
        <x:v>0</x:v>
      </x:c>
      <x:c r="C23" t="n">
        <x:f>Ativos!O23</x:f>
        <x:v>0</x:v>
      </x:c>
      <x:c r="D23" t="n">
        <x:f>Ativos!P23</x:f>
        <x:v>0</x:v>
      </x:c>
      <x:c r="E23" t="n">
        <x:f>Ativos!C23</x:f>
        <x:v>0</x:v>
      </x:c>
      <x:c r="F23" t="n">
        <x:f>Ativos!E23</x:f>
        <x:v>0</x:v>
      </x:c>
      <x:c r="G23" t="n">
        <x:f>Ativos!G23</x:f>
        <x:v>0</x:v>
      </x:c>
      <x:c r="H23" t="n">
        <x:f>Ativos!I23</x:f>
        <x:v>0</x:v>
      </x:c>
      <x:c r="I23" t="n">
        <x:f>Ativos!S23</x:f>
        <x:v>0</x:v>
      </x:c>
      <x:c r="J23" t="str">
        <x:f>Ativos!U23</x:f>
        <x:v>Sem data</x:v>
      </x:c>
      <x:c r="K23" s="3" t="n">
        <x:f>Ativos!R23</x:f>
        <x:v>0</x:v>
      </x:c>
    </x:row>
    <x:row r="24">
      <x:c r="A24" t="n">
        <x:f>Ativos!A24</x:f>
        <x:v>0</x:v>
      </x:c>
      <x:c r="B24" s="2" t="n">
        <x:f>Ativos!N24</x:f>
        <x:v>0</x:v>
      </x:c>
      <x:c r="C24" t="n">
        <x:f>Ativos!O24</x:f>
        <x:v>0</x:v>
      </x:c>
      <x:c r="D24" t="n">
        <x:f>Ativos!P24</x:f>
        <x:v>0</x:v>
      </x:c>
      <x:c r="E24" t="n">
        <x:f>Ativos!C24</x:f>
        <x:v>0</x:v>
      </x:c>
      <x:c r="F24" t="n">
        <x:f>Ativos!E24</x:f>
        <x:v>0</x:v>
      </x:c>
      <x:c r="G24" t="n">
        <x:f>Ativos!G24</x:f>
        <x:v>0</x:v>
      </x:c>
      <x:c r="H24" t="n">
        <x:f>Ativos!I24</x:f>
        <x:v>0</x:v>
      </x:c>
      <x:c r="I24" t="n">
        <x:f>Ativos!S24</x:f>
        <x:v>0</x:v>
      </x:c>
      <x:c r="J24" t="str">
        <x:f>Ativos!U24</x:f>
        <x:v>Sem data</x:v>
      </x:c>
      <x:c r="K24" s="3" t="n">
        <x:f>Ativos!R24</x:f>
        <x:v>0</x:v>
      </x:c>
    </x:row>
    <x:row r="25">
      <x:c r="A25" t="n">
        <x:f>Ativos!A25</x:f>
        <x:v>0</x:v>
      </x:c>
      <x:c r="B25" s="2" t="n">
        <x:f>Ativos!N25</x:f>
        <x:v>0</x:v>
      </x:c>
      <x:c r="C25" t="n">
        <x:f>Ativos!O25</x:f>
        <x:v>0</x:v>
      </x:c>
      <x:c r="D25" t="n">
        <x:f>Ativos!P25</x:f>
        <x:v>0</x:v>
      </x:c>
      <x:c r="E25" t="n">
        <x:f>Ativos!C25</x:f>
        <x:v>0</x:v>
      </x:c>
      <x:c r="F25" t="n">
        <x:f>Ativos!E25</x:f>
        <x:v>0</x:v>
      </x:c>
      <x:c r="G25" t="n">
        <x:f>Ativos!G25</x:f>
        <x:v>0</x:v>
      </x:c>
      <x:c r="H25" t="n">
        <x:f>Ativos!I25</x:f>
        <x:v>0</x:v>
      </x:c>
      <x:c r="I25" t="n">
        <x:f>Ativos!S25</x:f>
        <x:v>0</x:v>
      </x:c>
      <x:c r="J25" t="str">
        <x:f>Ativos!U25</x:f>
        <x:v>Sem data</x:v>
      </x:c>
      <x:c r="K25" s="3" t="n">
        <x:f>Ativos!R25</x:f>
        <x:v>0</x:v>
      </x:c>
    </x:row>
    <x:row r="26">
      <x:c r="A26" t="n">
        <x:f>Ativos!A26</x:f>
        <x:v>0</x:v>
      </x:c>
      <x:c r="B26" s="2" t="n">
        <x:f>Ativos!N26</x:f>
        <x:v>0</x:v>
      </x:c>
      <x:c r="C26" t="n">
        <x:f>Ativos!O26</x:f>
        <x:v>0</x:v>
      </x:c>
      <x:c r="D26" t="n">
        <x:f>Ativos!P26</x:f>
        <x:v>0</x:v>
      </x:c>
      <x:c r="E26" t="n">
        <x:f>Ativos!C26</x:f>
        <x:v>0</x:v>
      </x:c>
      <x:c r="F26" t="n">
        <x:f>Ativos!E26</x:f>
        <x:v>0</x:v>
      </x:c>
      <x:c r="G26" t="n">
        <x:f>Ativos!G26</x:f>
        <x:v>0</x:v>
      </x:c>
      <x:c r="H26" t="n">
        <x:f>Ativos!I26</x:f>
        <x:v>0</x:v>
      </x:c>
      <x:c r="I26" t="n">
        <x:f>Ativos!S26</x:f>
        <x:v>0</x:v>
      </x:c>
      <x:c r="J26" t="str">
        <x:f>Ativos!U26</x:f>
        <x:v>Sem data</x:v>
      </x:c>
      <x:c r="K26" s="3" t="n">
        <x:f>Ativos!R26</x:f>
        <x:v>0</x:v>
      </x:c>
    </x:row>
    <x:row r="27">
      <x:c r="A27" t="n">
        <x:f>Ativos!A27</x:f>
        <x:v>0</x:v>
      </x:c>
      <x:c r="B27" s="2" t="n">
        <x:f>Ativos!N27</x:f>
        <x:v>0</x:v>
      </x:c>
      <x:c r="C27" t="n">
        <x:f>Ativos!O27</x:f>
        <x:v>0</x:v>
      </x:c>
      <x:c r="D27" t="n">
        <x:f>Ativos!P27</x:f>
        <x:v>0</x:v>
      </x:c>
      <x:c r="E27" t="n">
        <x:f>Ativos!C27</x:f>
        <x:v>0</x:v>
      </x:c>
      <x:c r="F27" t="n">
        <x:f>Ativos!E27</x:f>
        <x:v>0</x:v>
      </x:c>
      <x:c r="G27" t="n">
        <x:f>Ativos!G27</x:f>
        <x:v>0</x:v>
      </x:c>
      <x:c r="H27" t="n">
        <x:f>Ativos!I27</x:f>
        <x:v>0</x:v>
      </x:c>
      <x:c r="I27" t="n">
        <x:f>Ativos!S27</x:f>
        <x:v>0</x:v>
      </x:c>
      <x:c r="J27" t="str">
        <x:f>Ativos!U27</x:f>
        <x:v>Sem data</x:v>
      </x:c>
      <x:c r="K27" s="3" t="n">
        <x:f>Ativos!R27</x:f>
        <x:v>0</x:v>
      </x:c>
    </x:row>
    <x:row r="28">
      <x:c r="A28" t="n">
        <x:f>Ativos!A28</x:f>
        <x:v>0</x:v>
      </x:c>
      <x:c r="B28" s="2" t="n">
        <x:f>Ativos!N28</x:f>
        <x:v>0</x:v>
      </x:c>
      <x:c r="C28" t="n">
        <x:f>Ativos!O28</x:f>
        <x:v>0</x:v>
      </x:c>
      <x:c r="D28" t="n">
        <x:f>Ativos!P28</x:f>
        <x:v>0</x:v>
      </x:c>
      <x:c r="E28" t="n">
        <x:f>Ativos!C28</x:f>
        <x:v>0</x:v>
      </x:c>
      <x:c r="F28" t="n">
        <x:f>Ativos!E28</x:f>
        <x:v>0</x:v>
      </x:c>
      <x:c r="G28" t="n">
        <x:f>Ativos!G28</x:f>
        <x:v>0</x:v>
      </x:c>
      <x:c r="H28" t="n">
        <x:f>Ativos!I28</x:f>
        <x:v>0</x:v>
      </x:c>
      <x:c r="I28" t="n">
        <x:f>Ativos!S28</x:f>
        <x:v>0</x:v>
      </x:c>
      <x:c r="J28" t="str">
        <x:f>Ativos!U28</x:f>
        <x:v>Sem data</x:v>
      </x:c>
      <x:c r="K28" s="3" t="n">
        <x:f>Ativos!R28</x:f>
        <x:v>0</x:v>
      </x:c>
    </x:row>
    <x:row r="29">
      <x:c r="A29" t="n">
        <x:f>Ativos!A29</x:f>
        <x:v>0</x:v>
      </x:c>
      <x:c r="B29" s="2" t="n">
        <x:f>Ativos!N29</x:f>
        <x:v>0</x:v>
      </x:c>
      <x:c r="C29" t="n">
        <x:f>Ativos!O29</x:f>
        <x:v>0</x:v>
      </x:c>
      <x:c r="D29" t="n">
        <x:f>Ativos!P29</x:f>
        <x:v>0</x:v>
      </x:c>
      <x:c r="E29" t="n">
        <x:f>Ativos!C29</x:f>
        <x:v>0</x:v>
      </x:c>
      <x:c r="F29" t="n">
        <x:f>Ativos!E29</x:f>
        <x:v>0</x:v>
      </x:c>
      <x:c r="G29" t="n">
        <x:f>Ativos!G29</x:f>
        <x:v>0</x:v>
      </x:c>
      <x:c r="H29" t="n">
        <x:f>Ativos!I29</x:f>
        <x:v>0</x:v>
      </x:c>
      <x:c r="I29" t="n">
        <x:f>Ativos!S29</x:f>
        <x:v>0</x:v>
      </x:c>
      <x:c r="J29" t="str">
        <x:f>Ativos!U29</x:f>
        <x:v>Sem data</x:v>
      </x:c>
      <x:c r="K29" s="3" t="n">
        <x:f>Ativos!R29</x:f>
        <x:v>0</x:v>
      </x:c>
    </x:row>
    <x:row r="30">
      <x:c r="A30" t="n">
        <x:f>Ativos!A30</x:f>
        <x:v>0</x:v>
      </x:c>
      <x:c r="B30" s="2" t="n">
        <x:f>Ativos!N30</x:f>
        <x:v>0</x:v>
      </x:c>
      <x:c r="C30" t="n">
        <x:f>Ativos!O30</x:f>
        <x:v>0</x:v>
      </x:c>
      <x:c r="D30" t="n">
        <x:f>Ativos!P30</x:f>
        <x:v>0</x:v>
      </x:c>
      <x:c r="E30" t="n">
        <x:f>Ativos!C30</x:f>
        <x:v>0</x:v>
      </x:c>
      <x:c r="F30" t="n">
        <x:f>Ativos!E30</x:f>
        <x:v>0</x:v>
      </x:c>
      <x:c r="G30" t="n">
        <x:f>Ativos!G30</x:f>
        <x:v>0</x:v>
      </x:c>
      <x:c r="H30" t="n">
        <x:f>Ativos!I30</x:f>
        <x:v>0</x:v>
      </x:c>
      <x:c r="I30" t="n">
        <x:f>Ativos!S30</x:f>
        <x:v>0</x:v>
      </x:c>
      <x:c r="J30" t="str">
        <x:f>Ativos!U30</x:f>
        <x:v>Sem data</x:v>
      </x:c>
      <x:c r="K30" s="3" t="n">
        <x:f>Ativos!R30</x:f>
        <x:v>0</x:v>
      </x:c>
    </x:row>
    <x:row r="31">
      <x:c r="A31" t="n">
        <x:f>Ativos!A31</x:f>
        <x:v>0</x:v>
      </x:c>
      <x:c r="B31" s="2" t="n">
        <x:f>Ativos!N31</x:f>
        <x:v>0</x:v>
      </x:c>
      <x:c r="C31" t="n">
        <x:f>Ativos!O31</x:f>
        <x:v>0</x:v>
      </x:c>
      <x:c r="D31" t="n">
        <x:f>Ativos!P31</x:f>
        <x:v>0</x:v>
      </x:c>
      <x:c r="E31" t="n">
        <x:f>Ativos!C31</x:f>
        <x:v>0</x:v>
      </x:c>
      <x:c r="F31" t="n">
        <x:f>Ativos!E31</x:f>
        <x:v>0</x:v>
      </x:c>
      <x:c r="G31" t="n">
        <x:f>Ativos!G31</x:f>
        <x:v>0</x:v>
      </x:c>
      <x:c r="H31" t="n">
        <x:f>Ativos!I31</x:f>
        <x:v>0</x:v>
      </x:c>
      <x:c r="I31" t="n">
        <x:f>Ativos!S31</x:f>
        <x:v>0</x:v>
      </x:c>
      <x:c r="J31" t="str">
        <x:f>Ativos!U31</x:f>
        <x:v>Sem data</x:v>
      </x:c>
      <x:c r="K31" s="3" t="n">
        <x:f>Ativos!R31</x:f>
        <x:v>0</x:v>
      </x:c>
    </x:row>
    <x:row r="32">
      <x:c r="A32" t="n">
        <x:f>Ativos!A32</x:f>
        <x:v>0</x:v>
      </x:c>
      <x:c r="B32" s="2" t="n">
        <x:f>Ativos!N32</x:f>
        <x:v>0</x:v>
      </x:c>
      <x:c r="C32" t="n">
        <x:f>Ativos!O32</x:f>
        <x:v>0</x:v>
      </x:c>
      <x:c r="D32" t="n">
        <x:f>Ativos!P32</x:f>
        <x:v>0</x:v>
      </x:c>
      <x:c r="E32" t="n">
        <x:f>Ativos!C32</x:f>
        <x:v>0</x:v>
      </x:c>
      <x:c r="F32" t="n">
        <x:f>Ativos!E32</x:f>
        <x:v>0</x:v>
      </x:c>
      <x:c r="G32" t="n">
        <x:f>Ativos!G32</x:f>
        <x:v>0</x:v>
      </x:c>
      <x:c r="H32" t="n">
        <x:f>Ativos!I32</x:f>
        <x:v>0</x:v>
      </x:c>
      <x:c r="I32" t="n">
        <x:f>Ativos!S32</x:f>
        <x:v>0</x:v>
      </x:c>
      <x:c r="J32" t="str">
        <x:f>Ativos!U32</x:f>
        <x:v>Sem data</x:v>
      </x:c>
      <x:c r="K32" s="3" t="n">
        <x:f>Ativos!R32</x:f>
        <x:v>0</x:v>
      </x:c>
    </x:row>
    <x:row r="33">
      <x:c r="A33" t="n">
        <x:f>Ativos!A33</x:f>
        <x:v>0</x:v>
      </x:c>
      <x:c r="B33" s="2" t="n">
        <x:f>Ativos!N33</x:f>
        <x:v>0</x:v>
      </x:c>
      <x:c r="C33" t="n">
        <x:f>Ativos!O33</x:f>
        <x:v>0</x:v>
      </x:c>
      <x:c r="D33" t="n">
        <x:f>Ativos!P33</x:f>
        <x:v>0</x:v>
      </x:c>
      <x:c r="E33" t="n">
        <x:f>Ativos!C33</x:f>
        <x:v>0</x:v>
      </x:c>
      <x:c r="F33" t="n">
        <x:f>Ativos!E33</x:f>
        <x:v>0</x:v>
      </x:c>
      <x:c r="G33" t="n">
        <x:f>Ativos!G33</x:f>
        <x:v>0</x:v>
      </x:c>
      <x:c r="H33" t="n">
        <x:f>Ativos!I33</x:f>
        <x:v>0</x:v>
      </x:c>
      <x:c r="I33" t="n">
        <x:f>Ativos!S33</x:f>
        <x:v>0</x:v>
      </x:c>
      <x:c r="J33" t="str">
        <x:f>Ativos!U33</x:f>
        <x:v>Sem data</x:v>
      </x:c>
      <x:c r="K33" s="3" t="n">
        <x:f>Ativos!R33</x:f>
        <x:v>0</x:v>
      </x:c>
    </x:row>
    <x:row r="34">
      <x:c r="A34" t="n">
        <x:f>Ativos!A34</x:f>
        <x:v>0</x:v>
      </x:c>
      <x:c r="B34" s="2" t="n">
        <x:f>Ativos!N34</x:f>
        <x:v>0</x:v>
      </x:c>
      <x:c r="C34" t="n">
        <x:f>Ativos!O34</x:f>
        <x:v>0</x:v>
      </x:c>
      <x:c r="D34" t="n">
        <x:f>Ativos!P34</x:f>
        <x:v>0</x:v>
      </x:c>
      <x:c r="E34" t="n">
        <x:f>Ativos!C34</x:f>
        <x:v>0</x:v>
      </x:c>
      <x:c r="F34" t="n">
        <x:f>Ativos!E34</x:f>
        <x:v>0</x:v>
      </x:c>
      <x:c r="G34" t="n">
        <x:f>Ativos!G34</x:f>
        <x:v>0</x:v>
      </x:c>
      <x:c r="H34" t="n">
        <x:f>Ativos!I34</x:f>
        <x:v>0</x:v>
      </x:c>
      <x:c r="I34" t="n">
        <x:f>Ativos!S34</x:f>
        <x:v>0</x:v>
      </x:c>
      <x:c r="J34" t="str">
        <x:f>Ativos!U34</x:f>
        <x:v>Sem data</x:v>
      </x:c>
      <x:c r="K34" s="3" t="n">
        <x:f>Ativos!R34</x:f>
        <x:v>0</x:v>
      </x:c>
    </x:row>
    <x:row r="35">
      <x:c r="A35" t="n">
        <x:f>Ativos!A35</x:f>
        <x:v>0</x:v>
      </x:c>
      <x:c r="B35" s="2" t="n">
        <x:f>Ativos!N35</x:f>
        <x:v>0</x:v>
      </x:c>
      <x:c r="C35" t="n">
        <x:f>Ativos!O35</x:f>
        <x:v>0</x:v>
      </x:c>
      <x:c r="D35" t="n">
        <x:f>Ativos!P35</x:f>
        <x:v>0</x:v>
      </x:c>
      <x:c r="E35" t="n">
        <x:f>Ativos!C35</x:f>
        <x:v>0</x:v>
      </x:c>
      <x:c r="F35" t="n">
        <x:f>Ativos!E35</x:f>
        <x:v>0</x:v>
      </x:c>
      <x:c r="G35" t="n">
        <x:f>Ativos!G35</x:f>
        <x:v>0</x:v>
      </x:c>
      <x:c r="H35" t="n">
        <x:f>Ativos!I35</x:f>
        <x:v>0</x:v>
      </x:c>
      <x:c r="I35" t="n">
        <x:f>Ativos!S35</x:f>
        <x:v>0</x:v>
      </x:c>
      <x:c r="J35" t="str">
        <x:f>Ativos!U35</x:f>
        <x:v>Sem data</x:v>
      </x:c>
      <x:c r="K35" s="3" t="n">
        <x:f>Ativos!R35</x:f>
        <x:v>0</x:v>
      </x:c>
    </x:row>
    <x:row r="36">
      <x:c r="A36" t="n">
        <x:f>Ativos!A36</x:f>
        <x:v>0</x:v>
      </x:c>
      <x:c r="B36" s="2" t="n">
        <x:f>Ativos!N36</x:f>
        <x:v>0</x:v>
      </x:c>
      <x:c r="C36" t="n">
        <x:f>Ativos!O36</x:f>
        <x:v>0</x:v>
      </x:c>
      <x:c r="D36" t="n">
        <x:f>Ativos!P36</x:f>
        <x:v>0</x:v>
      </x:c>
      <x:c r="E36" t="n">
        <x:f>Ativos!C36</x:f>
        <x:v>0</x:v>
      </x:c>
      <x:c r="F36" t="n">
        <x:f>Ativos!E36</x:f>
        <x:v>0</x:v>
      </x:c>
      <x:c r="G36" t="n">
        <x:f>Ativos!G36</x:f>
        <x:v>0</x:v>
      </x:c>
      <x:c r="H36" t="n">
        <x:f>Ativos!I36</x:f>
        <x:v>0</x:v>
      </x:c>
      <x:c r="I36" t="n">
        <x:f>Ativos!S36</x:f>
        <x:v>0</x:v>
      </x:c>
      <x:c r="J36" t="str">
        <x:f>Ativos!U36</x:f>
        <x:v>Sem data</x:v>
      </x:c>
      <x:c r="K36" s="3" t="n">
        <x:f>Ativos!R36</x:f>
        <x:v>0</x:v>
      </x:c>
    </x:row>
    <x:row r="37">
      <x:c r="A37" t="n">
        <x:f>Ativos!A37</x:f>
        <x:v>0</x:v>
      </x:c>
      <x:c r="B37" s="2" t="n">
        <x:f>Ativos!N37</x:f>
        <x:v>0</x:v>
      </x:c>
      <x:c r="C37" t="n">
        <x:f>Ativos!O37</x:f>
        <x:v>0</x:v>
      </x:c>
      <x:c r="D37" t="n">
        <x:f>Ativos!P37</x:f>
        <x:v>0</x:v>
      </x:c>
      <x:c r="E37" t="n">
        <x:f>Ativos!C37</x:f>
        <x:v>0</x:v>
      </x:c>
      <x:c r="F37" t="n">
        <x:f>Ativos!E37</x:f>
        <x:v>0</x:v>
      </x:c>
      <x:c r="G37" t="n">
        <x:f>Ativos!G37</x:f>
        <x:v>0</x:v>
      </x:c>
      <x:c r="H37" t="n">
        <x:f>Ativos!I37</x:f>
        <x:v>0</x:v>
      </x:c>
      <x:c r="I37" t="n">
        <x:f>Ativos!S37</x:f>
        <x:v>0</x:v>
      </x:c>
      <x:c r="J37" t="str">
        <x:f>Ativos!U37</x:f>
        <x:v>Sem data</x:v>
      </x:c>
      <x:c r="K37" s="3" t="n">
        <x:f>Ativos!R37</x:f>
        <x:v>0</x:v>
      </x:c>
    </x:row>
    <x:row r="38">
      <x:c r="A38" t="n">
        <x:f>Ativos!A38</x:f>
        <x:v>0</x:v>
      </x:c>
      <x:c r="B38" s="2" t="n">
        <x:f>Ativos!N38</x:f>
        <x:v>0</x:v>
      </x:c>
      <x:c r="C38" t="n">
        <x:f>Ativos!O38</x:f>
        <x:v>0</x:v>
      </x:c>
      <x:c r="D38" t="n">
        <x:f>Ativos!P38</x:f>
        <x:v>0</x:v>
      </x:c>
      <x:c r="E38" t="n">
        <x:f>Ativos!C38</x:f>
        <x:v>0</x:v>
      </x:c>
      <x:c r="F38" t="n">
        <x:f>Ativos!E38</x:f>
        <x:v>0</x:v>
      </x:c>
      <x:c r="G38" t="n">
        <x:f>Ativos!G38</x:f>
        <x:v>0</x:v>
      </x:c>
      <x:c r="H38" t="n">
        <x:f>Ativos!I38</x:f>
        <x:v>0</x:v>
      </x:c>
      <x:c r="I38" t="n">
        <x:f>Ativos!S38</x:f>
        <x:v>0</x:v>
      </x:c>
      <x:c r="J38" t="str">
        <x:f>Ativos!U38</x:f>
        <x:v>Sem data</x:v>
      </x:c>
      <x:c r="K38" s="3" t="n">
        <x:f>Ativos!R38</x:f>
        <x:v>0</x:v>
      </x:c>
    </x:row>
    <x:row r="39">
      <x:c r="A39" t="n">
        <x:f>Ativos!A39</x:f>
        <x:v>0</x:v>
      </x:c>
      <x:c r="B39" s="2" t="n">
        <x:f>Ativos!N39</x:f>
        <x:v>0</x:v>
      </x:c>
      <x:c r="C39" t="n">
        <x:f>Ativos!O39</x:f>
        <x:v>0</x:v>
      </x:c>
      <x:c r="D39" t="n">
        <x:f>Ativos!P39</x:f>
        <x:v>0</x:v>
      </x:c>
      <x:c r="E39" t="n">
        <x:f>Ativos!C39</x:f>
        <x:v>0</x:v>
      </x:c>
      <x:c r="F39" t="n">
        <x:f>Ativos!E39</x:f>
        <x:v>0</x:v>
      </x:c>
      <x:c r="G39" t="n">
        <x:f>Ativos!G39</x:f>
        <x:v>0</x:v>
      </x:c>
      <x:c r="H39" t="n">
        <x:f>Ativos!I39</x:f>
        <x:v>0</x:v>
      </x:c>
      <x:c r="I39" t="n">
        <x:f>Ativos!S39</x:f>
        <x:v>0</x:v>
      </x:c>
      <x:c r="J39" t="str">
        <x:f>Ativos!U39</x:f>
        <x:v>Sem data</x:v>
      </x:c>
      <x:c r="K39" s="3" t="n">
        <x:f>Ativos!R39</x:f>
        <x:v>0</x:v>
      </x:c>
    </x:row>
    <x:row r="40">
      <x:c r="A40" t="n">
        <x:f>Ativos!A40</x:f>
        <x:v>0</x:v>
      </x:c>
      <x:c r="B40" s="2" t="n">
        <x:f>Ativos!N40</x:f>
        <x:v>0</x:v>
      </x:c>
      <x:c r="C40" t="n">
        <x:f>Ativos!O40</x:f>
        <x:v>0</x:v>
      </x:c>
      <x:c r="D40" t="n">
        <x:f>Ativos!P40</x:f>
        <x:v>0</x:v>
      </x:c>
      <x:c r="E40" t="n">
        <x:f>Ativos!C40</x:f>
        <x:v>0</x:v>
      </x:c>
      <x:c r="F40" t="n">
        <x:f>Ativos!E40</x:f>
        <x:v>0</x:v>
      </x:c>
      <x:c r="G40" t="n">
        <x:f>Ativos!G40</x:f>
        <x:v>0</x:v>
      </x:c>
      <x:c r="H40" t="n">
        <x:f>Ativos!I40</x:f>
        <x:v>0</x:v>
      </x:c>
      <x:c r="I40" t="n">
        <x:f>Ativos!S40</x:f>
        <x:v>0</x:v>
      </x:c>
      <x:c r="J40" t="str">
        <x:f>Ativos!U40</x:f>
        <x:v>Sem data</x:v>
      </x:c>
      <x:c r="K40" s="3" t="n">
        <x:f>Ativos!R40</x:f>
        <x:v>0</x:v>
      </x:c>
    </x:row>
    <x:row r="41">
      <x:c r="A41" t="n">
        <x:f>Ativos!A41</x:f>
        <x:v>0</x:v>
      </x:c>
      <x:c r="B41" s="2" t="n">
        <x:f>Ativos!N41</x:f>
        <x:v>0</x:v>
      </x:c>
      <x:c r="C41" t="n">
        <x:f>Ativos!O41</x:f>
        <x:v>0</x:v>
      </x:c>
      <x:c r="D41" t="n">
        <x:f>Ativos!P41</x:f>
        <x:v>0</x:v>
      </x:c>
      <x:c r="E41" t="n">
        <x:f>Ativos!C41</x:f>
        <x:v>0</x:v>
      </x:c>
      <x:c r="F41" t="n">
        <x:f>Ativos!E41</x:f>
        <x:v>0</x:v>
      </x:c>
      <x:c r="G41" t="n">
        <x:f>Ativos!G41</x:f>
        <x:v>0</x:v>
      </x:c>
      <x:c r="H41" t="n">
        <x:f>Ativos!I41</x:f>
        <x:v>0</x:v>
      </x:c>
      <x:c r="I41" t="n">
        <x:f>Ativos!S41</x:f>
        <x:v>0</x:v>
      </x:c>
      <x:c r="J41" t="str">
        <x:f>Ativos!U41</x:f>
        <x:v>Sem data</x:v>
      </x:c>
      <x:c r="K41" s="3" t="n">
        <x:f>Ativos!R41</x:f>
        <x:v>0</x:v>
      </x:c>
    </x:row>
    <x:row r="42">
      <x:c r="A42" t="n">
        <x:f>Ativos!A42</x:f>
        <x:v>0</x:v>
      </x:c>
      <x:c r="B42" s="2" t="n">
        <x:f>Ativos!N42</x:f>
        <x:v>0</x:v>
      </x:c>
      <x:c r="C42" t="n">
        <x:f>Ativos!O42</x:f>
        <x:v>0</x:v>
      </x:c>
      <x:c r="D42" t="n">
        <x:f>Ativos!P42</x:f>
        <x:v>0</x:v>
      </x:c>
      <x:c r="E42" t="n">
        <x:f>Ativos!C42</x:f>
        <x:v>0</x:v>
      </x:c>
      <x:c r="F42" t="n">
        <x:f>Ativos!E42</x:f>
        <x:v>0</x:v>
      </x:c>
      <x:c r="G42" t="n">
        <x:f>Ativos!G42</x:f>
        <x:v>0</x:v>
      </x:c>
      <x:c r="H42" t="n">
        <x:f>Ativos!I42</x:f>
        <x:v>0</x:v>
      </x:c>
      <x:c r="I42" t="n">
        <x:f>Ativos!S42</x:f>
        <x:v>0</x:v>
      </x:c>
      <x:c r="J42" t="str">
        <x:f>Ativos!U42</x:f>
        <x:v>Sem data</x:v>
      </x:c>
      <x:c r="K42" s="3" t="n">
        <x:f>Ativos!R42</x:f>
        <x:v>0</x:v>
      </x:c>
    </x:row>
    <x:row r="43">
      <x:c r="A43" t="n">
        <x:f>Ativos!A43</x:f>
        <x:v>0</x:v>
      </x:c>
      <x:c r="B43" s="2" t="n">
        <x:f>Ativos!N43</x:f>
        <x:v>0</x:v>
      </x:c>
      <x:c r="C43" t="n">
        <x:f>Ativos!O43</x:f>
        <x:v>0</x:v>
      </x:c>
      <x:c r="D43" t="n">
        <x:f>Ativos!P43</x:f>
        <x:v>0</x:v>
      </x:c>
      <x:c r="E43" t="n">
        <x:f>Ativos!C43</x:f>
        <x:v>0</x:v>
      </x:c>
      <x:c r="F43" t="n">
        <x:f>Ativos!E43</x:f>
        <x:v>0</x:v>
      </x:c>
      <x:c r="G43" t="n">
        <x:f>Ativos!G43</x:f>
        <x:v>0</x:v>
      </x:c>
      <x:c r="H43" t="n">
        <x:f>Ativos!I43</x:f>
        <x:v>0</x:v>
      </x:c>
      <x:c r="I43" t="n">
        <x:f>Ativos!S43</x:f>
        <x:v>0</x:v>
      </x:c>
      <x:c r="J43" t="str">
        <x:f>Ativos!U43</x:f>
        <x:v>Sem data</x:v>
      </x:c>
      <x:c r="K43" s="3" t="n">
        <x:f>Ativos!R43</x:f>
        <x:v>0</x:v>
      </x:c>
    </x:row>
    <x:row r="44">
      <x:c r="A44" t="n">
        <x:f>Ativos!A44</x:f>
        <x:v>0</x:v>
      </x:c>
      <x:c r="B44" s="2" t="n">
        <x:f>Ativos!N44</x:f>
        <x:v>0</x:v>
      </x:c>
      <x:c r="C44" t="n">
        <x:f>Ativos!O44</x:f>
        <x:v>0</x:v>
      </x:c>
      <x:c r="D44" t="n">
        <x:f>Ativos!P44</x:f>
        <x:v>0</x:v>
      </x:c>
      <x:c r="E44" t="n">
        <x:f>Ativos!C44</x:f>
        <x:v>0</x:v>
      </x:c>
      <x:c r="F44" t="n">
        <x:f>Ativos!E44</x:f>
        <x:v>0</x:v>
      </x:c>
      <x:c r="G44" t="n">
        <x:f>Ativos!G44</x:f>
        <x:v>0</x:v>
      </x:c>
      <x:c r="H44" t="n">
        <x:f>Ativos!I44</x:f>
        <x:v>0</x:v>
      </x:c>
      <x:c r="I44" t="n">
        <x:f>Ativos!S44</x:f>
        <x:v>0</x:v>
      </x:c>
      <x:c r="J44" t="str">
        <x:f>Ativos!U44</x:f>
        <x:v>Sem data</x:v>
      </x:c>
      <x:c r="K44" s="3" t="n">
        <x:f>Ativos!R44</x:f>
        <x:v>0</x:v>
      </x:c>
    </x:row>
    <x:row r="45">
      <x:c r="A45" t="n">
        <x:f>Ativos!A45</x:f>
        <x:v>0</x:v>
      </x:c>
      <x:c r="B45" s="2" t="n">
        <x:f>Ativos!N45</x:f>
        <x:v>0</x:v>
      </x:c>
      <x:c r="C45" t="n">
        <x:f>Ativos!O45</x:f>
        <x:v>0</x:v>
      </x:c>
      <x:c r="D45" t="n">
        <x:f>Ativos!P45</x:f>
        <x:v>0</x:v>
      </x:c>
      <x:c r="E45" t="n">
        <x:f>Ativos!C45</x:f>
        <x:v>0</x:v>
      </x:c>
      <x:c r="F45" t="n">
        <x:f>Ativos!E45</x:f>
        <x:v>0</x:v>
      </x:c>
      <x:c r="G45" t="n">
        <x:f>Ativos!G45</x:f>
        <x:v>0</x:v>
      </x:c>
      <x:c r="H45" t="n">
        <x:f>Ativos!I45</x:f>
        <x:v>0</x:v>
      </x:c>
      <x:c r="I45" t="n">
        <x:f>Ativos!S45</x:f>
        <x:v>0</x:v>
      </x:c>
      <x:c r="J45" t="str">
        <x:f>Ativos!U45</x:f>
        <x:v>Sem data</x:v>
      </x:c>
      <x:c r="K45" s="3" t="n">
        <x:f>Ativos!R45</x:f>
        <x:v>0</x:v>
      </x:c>
    </x:row>
    <x:row r="46">
      <x:c r="A46" t="n">
        <x:f>Ativos!A46</x:f>
        <x:v>0</x:v>
      </x:c>
      <x:c r="B46" s="2" t="n">
        <x:f>Ativos!N46</x:f>
        <x:v>0</x:v>
      </x:c>
      <x:c r="C46" t="n">
        <x:f>Ativos!O46</x:f>
        <x:v>0</x:v>
      </x:c>
      <x:c r="D46" t="n">
        <x:f>Ativos!P46</x:f>
        <x:v>0</x:v>
      </x:c>
      <x:c r="E46" t="n">
        <x:f>Ativos!C46</x:f>
        <x:v>0</x:v>
      </x:c>
      <x:c r="F46" t="n">
        <x:f>Ativos!E46</x:f>
        <x:v>0</x:v>
      </x:c>
      <x:c r="G46" t="n">
        <x:f>Ativos!G46</x:f>
        <x:v>0</x:v>
      </x:c>
      <x:c r="H46" t="n">
        <x:f>Ativos!I46</x:f>
        <x:v>0</x:v>
      </x:c>
      <x:c r="I46" t="n">
        <x:f>Ativos!S46</x:f>
        <x:v>0</x:v>
      </x:c>
      <x:c r="J46" t="str">
        <x:f>Ativos!U46</x:f>
        <x:v>Sem data</x:v>
      </x:c>
      <x:c r="K46" s="3" t="n">
        <x:f>Ativos!R46</x:f>
        <x:v>0</x:v>
      </x:c>
    </x:row>
    <x:row r="47">
      <x:c r="A47" t="n">
        <x:f>Ativos!A47</x:f>
        <x:v>0</x:v>
      </x:c>
      <x:c r="B47" s="2" t="n">
        <x:f>Ativos!N47</x:f>
        <x:v>0</x:v>
      </x:c>
      <x:c r="C47" t="n">
        <x:f>Ativos!O47</x:f>
        <x:v>0</x:v>
      </x:c>
      <x:c r="D47" t="n">
        <x:f>Ativos!P47</x:f>
        <x:v>0</x:v>
      </x:c>
      <x:c r="E47" t="n">
        <x:f>Ativos!C47</x:f>
        <x:v>0</x:v>
      </x:c>
      <x:c r="F47" t="n">
        <x:f>Ativos!E47</x:f>
        <x:v>0</x:v>
      </x:c>
      <x:c r="G47" t="n">
        <x:f>Ativos!G47</x:f>
        <x:v>0</x:v>
      </x:c>
      <x:c r="H47" t="n">
        <x:f>Ativos!I47</x:f>
        <x:v>0</x:v>
      </x:c>
      <x:c r="I47" t="n">
        <x:f>Ativos!S47</x:f>
        <x:v>0</x:v>
      </x:c>
      <x:c r="J47" t="str">
        <x:f>Ativos!U47</x:f>
        <x:v>Sem data</x:v>
      </x:c>
      <x:c r="K47" s="3" t="n">
        <x:f>Ativos!R47</x:f>
        <x:v>0</x:v>
      </x:c>
    </x:row>
    <x:row r="48">
      <x:c r="A48" t="n">
        <x:f>Ativos!A48</x:f>
        <x:v>0</x:v>
      </x:c>
      <x:c r="B48" s="2" t="n">
        <x:f>Ativos!N48</x:f>
        <x:v>0</x:v>
      </x:c>
      <x:c r="C48" t="n">
        <x:f>Ativos!O48</x:f>
        <x:v>0</x:v>
      </x:c>
      <x:c r="D48" t="n">
        <x:f>Ativos!P48</x:f>
        <x:v>0</x:v>
      </x:c>
      <x:c r="E48" t="n">
        <x:f>Ativos!C48</x:f>
        <x:v>0</x:v>
      </x:c>
      <x:c r="F48" t="n">
        <x:f>Ativos!E48</x:f>
        <x:v>0</x:v>
      </x:c>
      <x:c r="G48" t="n">
        <x:f>Ativos!G48</x:f>
        <x:v>0</x:v>
      </x:c>
      <x:c r="H48" t="n">
        <x:f>Ativos!I48</x:f>
        <x:v>0</x:v>
      </x:c>
      <x:c r="I48" t="n">
        <x:f>Ativos!S48</x:f>
        <x:v>0</x:v>
      </x:c>
      <x:c r="J48" t="str">
        <x:f>Ativos!U48</x:f>
        <x:v>Sem data</x:v>
      </x:c>
      <x:c r="K48" s="3" t="n">
        <x:f>Ativos!R48</x:f>
        <x:v>0</x:v>
      </x:c>
    </x:row>
    <x:row r="49">
      <x:c r="A49" t="n">
        <x:f>Ativos!A49</x:f>
        <x:v>0</x:v>
      </x:c>
      <x:c r="B49" s="2" t="n">
        <x:f>Ativos!N49</x:f>
        <x:v>0</x:v>
      </x:c>
      <x:c r="C49" t="n">
        <x:f>Ativos!O49</x:f>
        <x:v>0</x:v>
      </x:c>
      <x:c r="D49" t="n">
        <x:f>Ativos!P49</x:f>
        <x:v>0</x:v>
      </x:c>
      <x:c r="E49" t="n">
        <x:f>Ativos!C49</x:f>
        <x:v>0</x:v>
      </x:c>
      <x:c r="F49" t="n">
        <x:f>Ativos!E49</x:f>
        <x:v>0</x:v>
      </x:c>
      <x:c r="G49" t="n">
        <x:f>Ativos!G49</x:f>
        <x:v>0</x:v>
      </x:c>
      <x:c r="H49" t="n">
        <x:f>Ativos!I49</x:f>
        <x:v>0</x:v>
      </x:c>
      <x:c r="I49" t="n">
        <x:f>Ativos!S49</x:f>
        <x:v>0</x:v>
      </x:c>
      <x:c r="J49" t="str">
        <x:f>Ativos!U49</x:f>
        <x:v>Sem data</x:v>
      </x:c>
      <x:c r="K49" s="3" t="n">
        <x:f>Ativos!R49</x:f>
        <x:v>0</x:v>
      </x:c>
    </x:row>
    <x:row r="50">
      <x:c r="A50" t="n">
        <x:f>Ativos!A50</x:f>
        <x:v>0</x:v>
      </x:c>
      <x:c r="B50" s="2" t="n">
        <x:f>Ativos!N50</x:f>
        <x:v>0</x:v>
      </x:c>
      <x:c r="C50" t="n">
        <x:f>Ativos!O50</x:f>
        <x:v>0</x:v>
      </x:c>
      <x:c r="D50" t="n">
        <x:f>Ativos!P50</x:f>
        <x:v>0</x:v>
      </x:c>
      <x:c r="E50" t="n">
        <x:f>Ativos!C50</x:f>
        <x:v>0</x:v>
      </x:c>
      <x:c r="F50" t="n">
        <x:f>Ativos!E50</x:f>
        <x:v>0</x:v>
      </x:c>
      <x:c r="G50" t="n">
        <x:f>Ativos!G50</x:f>
        <x:v>0</x:v>
      </x:c>
      <x:c r="H50" t="n">
        <x:f>Ativos!I50</x:f>
        <x:v>0</x:v>
      </x:c>
      <x:c r="I50" t="n">
        <x:f>Ativos!S50</x:f>
        <x:v>0</x:v>
      </x:c>
      <x:c r="J50" t="str">
        <x:f>Ativos!U50</x:f>
        <x:v>Sem data</x:v>
      </x:c>
      <x:c r="K50" s="3" t="n">
        <x:f>Ativos!R50</x:f>
        <x:v>0</x:v>
      </x:c>
    </x:row>
    <x:row r="51">
      <x:c r="A51" t="n">
        <x:f>Ativos!A51</x:f>
        <x:v>0</x:v>
      </x:c>
      <x:c r="B51" s="2" t="n">
        <x:f>Ativos!N51</x:f>
        <x:v>0</x:v>
      </x:c>
      <x:c r="C51" t="n">
        <x:f>Ativos!O51</x:f>
        <x:v>0</x:v>
      </x:c>
      <x:c r="D51" t="n">
        <x:f>Ativos!P51</x:f>
        <x:v>0</x:v>
      </x:c>
      <x:c r="E51" t="n">
        <x:f>Ativos!C51</x:f>
        <x:v>0</x:v>
      </x:c>
      <x:c r="F51" t="n">
        <x:f>Ativos!E51</x:f>
        <x:v>0</x:v>
      </x:c>
      <x:c r="G51" t="n">
        <x:f>Ativos!G51</x:f>
        <x:v>0</x:v>
      </x:c>
      <x:c r="H51" t="n">
        <x:f>Ativos!I51</x:f>
        <x:v>0</x:v>
      </x:c>
      <x:c r="I51" t="n">
        <x:f>Ativos!S51</x:f>
        <x:v>0</x:v>
      </x:c>
      <x:c r="J51" t="str">
        <x:f>Ativos!U51</x:f>
        <x:v>Sem data</x:v>
      </x:c>
      <x:c r="K51" s="3" t="n">
        <x:f>Ativos!R51</x:f>
        <x:v>0</x:v>
      </x:c>
    </x:row>
    <x:row r="52">
      <x:c r="A52" t="n">
        <x:f>Ativos!A52</x:f>
        <x:v>0</x:v>
      </x:c>
      <x:c r="B52" s="2" t="n">
        <x:f>Ativos!N52</x:f>
        <x:v>0</x:v>
      </x:c>
      <x:c r="C52" t="n">
        <x:f>Ativos!O52</x:f>
        <x:v>0</x:v>
      </x:c>
      <x:c r="D52" t="n">
        <x:f>Ativos!P52</x:f>
        <x:v>0</x:v>
      </x:c>
      <x:c r="E52" t="n">
        <x:f>Ativos!C52</x:f>
        <x:v>0</x:v>
      </x:c>
      <x:c r="F52" t="n">
        <x:f>Ativos!E52</x:f>
        <x:v>0</x:v>
      </x:c>
      <x:c r="G52" t="n">
        <x:f>Ativos!G52</x:f>
        <x:v>0</x:v>
      </x:c>
      <x:c r="H52" t="n">
        <x:f>Ativos!I52</x:f>
        <x:v>0</x:v>
      </x:c>
      <x:c r="I52" t="n">
        <x:f>Ativos!S52</x:f>
        <x:v>0</x:v>
      </x:c>
      <x:c r="J52" t="str">
        <x:f>Ativos!U52</x:f>
        <x:v>Sem data</x:v>
      </x:c>
      <x:c r="K52" s="3" t="n">
        <x:f>Ativos!R52</x:f>
        <x:v>0</x:v>
      </x:c>
    </x:row>
    <x:row r="53">
      <x:c r="A53" t="n">
        <x:f>Ativos!A53</x:f>
        <x:v>0</x:v>
      </x:c>
      <x:c r="B53" s="2" t="n">
        <x:f>Ativos!N53</x:f>
        <x:v>0</x:v>
      </x:c>
      <x:c r="C53" t="n">
        <x:f>Ativos!O53</x:f>
        <x:v>0</x:v>
      </x:c>
      <x:c r="D53" t="n">
        <x:f>Ativos!P53</x:f>
        <x:v>0</x:v>
      </x:c>
      <x:c r="E53" t="n">
        <x:f>Ativos!C53</x:f>
        <x:v>0</x:v>
      </x:c>
      <x:c r="F53" t="n">
        <x:f>Ativos!E53</x:f>
        <x:v>0</x:v>
      </x:c>
      <x:c r="G53" t="n">
        <x:f>Ativos!G53</x:f>
        <x:v>0</x:v>
      </x:c>
      <x:c r="H53" t="n">
        <x:f>Ativos!I53</x:f>
        <x:v>0</x:v>
      </x:c>
      <x:c r="I53" t="n">
        <x:f>Ativos!S53</x:f>
        <x:v>0</x:v>
      </x:c>
      <x:c r="J53" t="str">
        <x:f>Ativos!U53</x:f>
        <x:v>Sem data</x:v>
      </x:c>
      <x:c r="K53" s="3" t="n">
        <x:f>Ativos!R53</x:f>
        <x:v>0</x:v>
      </x:c>
    </x:row>
    <x:row r="54">
      <x:c r="A54" t="n">
        <x:f>Ativos!A54</x:f>
        <x:v>0</x:v>
      </x:c>
      <x:c r="B54" s="2" t="n">
        <x:f>Ativos!N54</x:f>
        <x:v>0</x:v>
      </x:c>
      <x:c r="C54" t="n">
        <x:f>Ativos!O54</x:f>
        <x:v>0</x:v>
      </x:c>
      <x:c r="D54" t="n">
        <x:f>Ativos!P54</x:f>
        <x:v>0</x:v>
      </x:c>
      <x:c r="E54" t="n">
        <x:f>Ativos!C54</x:f>
        <x:v>0</x:v>
      </x:c>
      <x:c r="F54" t="n">
        <x:f>Ativos!E54</x:f>
        <x:v>0</x:v>
      </x:c>
      <x:c r="G54" t="n">
        <x:f>Ativos!G54</x:f>
        <x:v>0</x:v>
      </x:c>
      <x:c r="H54" t="n">
        <x:f>Ativos!I54</x:f>
        <x:v>0</x:v>
      </x:c>
      <x:c r="I54" t="n">
        <x:f>Ativos!S54</x:f>
        <x:v>0</x:v>
      </x:c>
      <x:c r="J54" t="str">
        <x:f>Ativos!U54</x:f>
        <x:v>Sem data</x:v>
      </x:c>
      <x:c r="K54" s="3" t="n">
        <x:f>Ativos!R54</x:f>
        <x:v>0</x:v>
      </x:c>
    </x:row>
    <x:row r="55">
      <x:c r="A55" t="n">
        <x:f>Ativos!A55</x:f>
        <x:v>0</x:v>
      </x:c>
      <x:c r="B55" s="2" t="n">
        <x:f>Ativos!N55</x:f>
        <x:v>0</x:v>
      </x:c>
      <x:c r="C55" t="n">
        <x:f>Ativos!O55</x:f>
        <x:v>0</x:v>
      </x:c>
      <x:c r="D55" t="n">
        <x:f>Ativos!P55</x:f>
        <x:v>0</x:v>
      </x:c>
      <x:c r="E55" t="n">
        <x:f>Ativos!C55</x:f>
        <x:v>0</x:v>
      </x:c>
      <x:c r="F55" t="n">
        <x:f>Ativos!E55</x:f>
        <x:v>0</x:v>
      </x:c>
      <x:c r="G55" t="n">
        <x:f>Ativos!G55</x:f>
        <x:v>0</x:v>
      </x:c>
      <x:c r="H55" t="n">
        <x:f>Ativos!I55</x:f>
        <x:v>0</x:v>
      </x:c>
      <x:c r="I55" t="n">
        <x:f>Ativos!S55</x:f>
        <x:v>0</x:v>
      </x:c>
      <x:c r="J55" t="str">
        <x:f>Ativos!U55</x:f>
        <x:v>Sem data</x:v>
      </x:c>
      <x:c r="K55" s="3" t="n">
        <x:f>Ativos!R55</x:f>
        <x:v>0</x:v>
      </x:c>
    </x:row>
    <x:row r="56">
      <x:c r="A56" t="n">
        <x:f>Ativos!A56</x:f>
        <x:v>0</x:v>
      </x:c>
      <x:c r="B56" s="2" t="n">
        <x:f>Ativos!N56</x:f>
        <x:v>0</x:v>
      </x:c>
      <x:c r="C56" t="n">
        <x:f>Ativos!O56</x:f>
        <x:v>0</x:v>
      </x:c>
      <x:c r="D56" t="n">
        <x:f>Ativos!P56</x:f>
        <x:v>0</x:v>
      </x:c>
      <x:c r="E56" t="n">
        <x:f>Ativos!C56</x:f>
        <x:v>0</x:v>
      </x:c>
      <x:c r="F56" t="n">
        <x:f>Ativos!E56</x:f>
        <x:v>0</x:v>
      </x:c>
      <x:c r="G56" t="n">
        <x:f>Ativos!G56</x:f>
        <x:v>0</x:v>
      </x:c>
      <x:c r="H56" t="n">
        <x:f>Ativos!I56</x:f>
        <x:v>0</x:v>
      </x:c>
      <x:c r="I56" t="n">
        <x:f>Ativos!S56</x:f>
        <x:v>0</x:v>
      </x:c>
      <x:c r="J56" t="str">
        <x:f>Ativos!U56</x:f>
        <x:v>Sem data</x:v>
      </x:c>
      <x:c r="K56" s="3" t="n">
        <x:f>Ativos!R56</x:f>
        <x:v>0</x:v>
      </x:c>
    </x:row>
    <x:row r="57">
      <x:c r="A57" t="n">
        <x:f>Ativos!A57</x:f>
        <x:v>0</x:v>
      </x:c>
      <x:c r="B57" s="2" t="n">
        <x:f>Ativos!N57</x:f>
        <x:v>0</x:v>
      </x:c>
      <x:c r="C57" t="n">
        <x:f>Ativos!O57</x:f>
        <x:v>0</x:v>
      </x:c>
      <x:c r="D57" t="n">
        <x:f>Ativos!P57</x:f>
        <x:v>0</x:v>
      </x:c>
      <x:c r="E57" t="n">
        <x:f>Ativos!C57</x:f>
        <x:v>0</x:v>
      </x:c>
      <x:c r="F57" t="n">
        <x:f>Ativos!E57</x:f>
        <x:v>0</x:v>
      </x:c>
      <x:c r="G57" t="n">
        <x:f>Ativos!G57</x:f>
        <x:v>0</x:v>
      </x:c>
      <x:c r="H57" t="n">
        <x:f>Ativos!I57</x:f>
        <x:v>0</x:v>
      </x:c>
      <x:c r="I57" t="n">
        <x:f>Ativos!S57</x:f>
        <x:v>0</x:v>
      </x:c>
      <x:c r="J57" t="str">
        <x:f>Ativos!U57</x:f>
        <x:v>Sem data</x:v>
      </x:c>
      <x:c r="K57" s="3" t="n">
        <x:f>Ativos!R57</x:f>
        <x:v>0</x:v>
      </x:c>
    </x:row>
    <x:row r="58">
      <x:c r="A58" t="n">
        <x:f>Ativos!A58</x:f>
        <x:v>0</x:v>
      </x:c>
      <x:c r="B58" s="2" t="n">
        <x:f>Ativos!N58</x:f>
        <x:v>0</x:v>
      </x:c>
      <x:c r="C58" t="n">
        <x:f>Ativos!O58</x:f>
        <x:v>0</x:v>
      </x:c>
      <x:c r="D58" t="n">
        <x:f>Ativos!P58</x:f>
        <x:v>0</x:v>
      </x:c>
      <x:c r="E58" t="n">
        <x:f>Ativos!C58</x:f>
        <x:v>0</x:v>
      </x:c>
      <x:c r="F58" t="n">
        <x:f>Ativos!E58</x:f>
        <x:v>0</x:v>
      </x:c>
      <x:c r="G58" t="n">
        <x:f>Ativos!G58</x:f>
        <x:v>0</x:v>
      </x:c>
      <x:c r="H58" t="n">
        <x:f>Ativos!I58</x:f>
        <x:v>0</x:v>
      </x:c>
      <x:c r="I58" t="n">
        <x:f>Ativos!S58</x:f>
        <x:v>0</x:v>
      </x:c>
      <x:c r="J58" t="str">
        <x:f>Ativos!U58</x:f>
        <x:v>Sem data</x:v>
      </x:c>
      <x:c r="K58" s="3" t="n">
        <x:f>Ativos!R58</x:f>
        <x:v>0</x:v>
      </x:c>
    </x:row>
    <x:row r="59">
      <x:c r="A59" t="n">
        <x:f>Ativos!A59</x:f>
        <x:v>0</x:v>
      </x:c>
      <x:c r="B59" s="2" t="n">
        <x:f>Ativos!N59</x:f>
        <x:v>0</x:v>
      </x:c>
      <x:c r="C59" t="n">
        <x:f>Ativos!O59</x:f>
        <x:v>0</x:v>
      </x:c>
      <x:c r="D59" t="n">
        <x:f>Ativos!P59</x:f>
        <x:v>0</x:v>
      </x:c>
      <x:c r="E59" t="n">
        <x:f>Ativos!C59</x:f>
        <x:v>0</x:v>
      </x:c>
      <x:c r="F59" t="n">
        <x:f>Ativos!E59</x:f>
        <x:v>0</x:v>
      </x:c>
      <x:c r="G59" t="n">
        <x:f>Ativos!G59</x:f>
        <x:v>0</x:v>
      </x:c>
      <x:c r="H59" t="n">
        <x:f>Ativos!I59</x:f>
        <x:v>0</x:v>
      </x:c>
      <x:c r="I59" t="n">
        <x:f>Ativos!S59</x:f>
        <x:v>0</x:v>
      </x:c>
      <x:c r="J59" t="str">
        <x:f>Ativos!U59</x:f>
        <x:v>Sem data</x:v>
      </x:c>
      <x:c r="K59" s="3" t="n">
        <x:f>Ativos!R59</x:f>
        <x:v>0</x:v>
      </x:c>
    </x:row>
    <x:row r="60">
      <x:c r="A60" t="n">
        <x:f>Ativos!A60</x:f>
        <x:v>0</x:v>
      </x:c>
      <x:c r="B60" s="2" t="n">
        <x:f>Ativos!N60</x:f>
        <x:v>0</x:v>
      </x:c>
      <x:c r="C60" t="n">
        <x:f>Ativos!O60</x:f>
        <x:v>0</x:v>
      </x:c>
      <x:c r="D60" t="n">
        <x:f>Ativos!P60</x:f>
        <x:v>0</x:v>
      </x:c>
      <x:c r="E60" t="n">
        <x:f>Ativos!C60</x:f>
        <x:v>0</x:v>
      </x:c>
      <x:c r="F60" t="n">
        <x:f>Ativos!E60</x:f>
        <x:v>0</x:v>
      </x:c>
      <x:c r="G60" t="n">
        <x:f>Ativos!G60</x:f>
        <x:v>0</x:v>
      </x:c>
      <x:c r="H60" t="n">
        <x:f>Ativos!I60</x:f>
        <x:v>0</x:v>
      </x:c>
      <x:c r="I60" t="n">
        <x:f>Ativos!S60</x:f>
        <x:v>0</x:v>
      </x:c>
      <x:c r="J60" t="str">
        <x:f>Ativos!U60</x:f>
        <x:v>Sem data</x:v>
      </x:c>
      <x:c r="K60" s="3" t="n">
        <x:f>Ativos!R60</x:f>
        <x:v>0</x:v>
      </x:c>
    </x:row>
    <x:row r="61">
      <x:c r="A61" t="n">
        <x:f>Ativos!A61</x:f>
        <x:v>0</x:v>
      </x:c>
      <x:c r="B61" s="2" t="n">
        <x:f>Ativos!N61</x:f>
        <x:v>0</x:v>
      </x:c>
      <x:c r="C61" t="n">
        <x:f>Ativos!O61</x:f>
        <x:v>0</x:v>
      </x:c>
      <x:c r="D61" t="n">
        <x:f>Ativos!P61</x:f>
        <x:v>0</x:v>
      </x:c>
      <x:c r="E61" t="n">
        <x:f>Ativos!C61</x:f>
        <x:v>0</x:v>
      </x:c>
      <x:c r="F61" t="n">
        <x:f>Ativos!E61</x:f>
        <x:v>0</x:v>
      </x:c>
      <x:c r="G61" t="n">
        <x:f>Ativos!G61</x:f>
        <x:v>0</x:v>
      </x:c>
      <x:c r="H61" t="n">
        <x:f>Ativos!I61</x:f>
        <x:v>0</x:v>
      </x:c>
      <x:c r="I61" t="n">
        <x:f>Ativos!S61</x:f>
        <x:v>0</x:v>
      </x:c>
      <x:c r="J61" t="str">
        <x:f>Ativos!U61</x:f>
        <x:v>Sem data</x:v>
      </x:c>
      <x:c r="K61" s="3" t="n">
        <x:f>Ativos!R61</x:f>
        <x:v>0</x:v>
      </x:c>
    </x:row>
    <x:row r="62">
      <x:c r="A62" t="n">
        <x:f>Ativos!A62</x:f>
        <x:v>0</x:v>
      </x:c>
      <x:c r="B62" s="2" t="n">
        <x:f>Ativos!N62</x:f>
        <x:v>0</x:v>
      </x:c>
      <x:c r="C62" t="n">
        <x:f>Ativos!O62</x:f>
        <x:v>0</x:v>
      </x:c>
      <x:c r="D62" t="n">
        <x:f>Ativos!P62</x:f>
        <x:v>0</x:v>
      </x:c>
      <x:c r="E62" t="n">
        <x:f>Ativos!C62</x:f>
        <x:v>0</x:v>
      </x:c>
      <x:c r="F62" t="n">
        <x:f>Ativos!E62</x:f>
        <x:v>0</x:v>
      </x:c>
      <x:c r="G62" t="n">
        <x:f>Ativos!G62</x:f>
        <x:v>0</x:v>
      </x:c>
      <x:c r="H62" t="n">
        <x:f>Ativos!I62</x:f>
        <x:v>0</x:v>
      </x:c>
      <x:c r="I62" t="n">
        <x:f>Ativos!S62</x:f>
        <x:v>0</x:v>
      </x:c>
      <x:c r="J62" t="str">
        <x:f>Ativos!U62</x:f>
        <x:v>Sem data</x:v>
      </x:c>
      <x:c r="K62" s="3" t="n">
        <x:f>Ativos!R62</x:f>
        <x:v>0</x:v>
      </x:c>
    </x:row>
    <x:row r="63">
      <x:c r="A63" t="n">
        <x:f>Ativos!A63</x:f>
        <x:v>0</x:v>
      </x:c>
      <x:c r="B63" s="2" t="n">
        <x:f>Ativos!N63</x:f>
        <x:v>0</x:v>
      </x:c>
      <x:c r="C63" t="n">
        <x:f>Ativos!O63</x:f>
        <x:v>0</x:v>
      </x:c>
      <x:c r="D63" t="n">
        <x:f>Ativos!P63</x:f>
        <x:v>0</x:v>
      </x:c>
      <x:c r="E63" t="n">
        <x:f>Ativos!C63</x:f>
        <x:v>0</x:v>
      </x:c>
      <x:c r="F63" t="n">
        <x:f>Ativos!E63</x:f>
        <x:v>0</x:v>
      </x:c>
      <x:c r="G63" t="n">
        <x:f>Ativos!G63</x:f>
        <x:v>0</x:v>
      </x:c>
      <x:c r="H63" t="n">
        <x:f>Ativos!I63</x:f>
        <x:v>0</x:v>
      </x:c>
      <x:c r="I63" t="n">
        <x:f>Ativos!S63</x:f>
        <x:v>0</x:v>
      </x:c>
      <x:c r="J63" t="str">
        <x:f>Ativos!U63</x:f>
        <x:v>Sem data</x:v>
      </x:c>
      <x:c r="K63" s="3" t="n">
        <x:f>Ativos!R63</x:f>
        <x:v>0</x:v>
      </x:c>
    </x:row>
    <x:row r="64">
      <x:c r="A64" t="n">
        <x:f>Ativos!A64</x:f>
        <x:v>0</x:v>
      </x:c>
      <x:c r="B64" s="2" t="n">
        <x:f>Ativos!N64</x:f>
        <x:v>0</x:v>
      </x:c>
      <x:c r="C64" t="n">
        <x:f>Ativos!O64</x:f>
        <x:v>0</x:v>
      </x:c>
      <x:c r="D64" t="n">
        <x:f>Ativos!P64</x:f>
        <x:v>0</x:v>
      </x:c>
      <x:c r="E64" t="n">
        <x:f>Ativos!C64</x:f>
        <x:v>0</x:v>
      </x:c>
      <x:c r="F64" t="n">
        <x:f>Ativos!E64</x:f>
        <x:v>0</x:v>
      </x:c>
      <x:c r="G64" t="n">
        <x:f>Ativos!G64</x:f>
        <x:v>0</x:v>
      </x:c>
      <x:c r="H64" t="n">
        <x:f>Ativos!I64</x:f>
        <x:v>0</x:v>
      </x:c>
      <x:c r="I64" t="n">
        <x:f>Ativos!S64</x:f>
        <x:v>0</x:v>
      </x:c>
      <x:c r="J64" t="str">
        <x:f>Ativos!U64</x:f>
        <x:v>Sem data</x:v>
      </x:c>
      <x:c r="K64" s="3" t="n">
        <x:f>Ativos!R64</x:f>
        <x:v>0</x:v>
      </x:c>
    </x:row>
    <x:row r="65">
      <x:c r="A65" t="n">
        <x:f>Ativos!A65</x:f>
        <x:v>0</x:v>
      </x:c>
      <x:c r="B65" s="2" t="n">
        <x:f>Ativos!N65</x:f>
        <x:v>0</x:v>
      </x:c>
      <x:c r="C65" t="n">
        <x:f>Ativos!O65</x:f>
        <x:v>0</x:v>
      </x:c>
      <x:c r="D65" t="n">
        <x:f>Ativos!P65</x:f>
        <x:v>0</x:v>
      </x:c>
      <x:c r="E65" t="n">
        <x:f>Ativos!C65</x:f>
        <x:v>0</x:v>
      </x:c>
      <x:c r="F65" t="n">
        <x:f>Ativos!E65</x:f>
        <x:v>0</x:v>
      </x:c>
      <x:c r="G65" t="n">
        <x:f>Ativos!G65</x:f>
        <x:v>0</x:v>
      </x:c>
      <x:c r="H65" t="n">
        <x:f>Ativos!I65</x:f>
        <x:v>0</x:v>
      </x:c>
      <x:c r="I65" t="n">
        <x:f>Ativos!S65</x:f>
        <x:v>0</x:v>
      </x:c>
      <x:c r="J65" t="str">
        <x:f>Ativos!U65</x:f>
        <x:v>Sem data</x:v>
      </x:c>
      <x:c r="K65" s="3" t="n">
        <x:f>Ativos!R65</x:f>
        <x:v>0</x:v>
      </x:c>
    </x:row>
    <x:row r="66">
      <x:c r="A66" t="n">
        <x:f>Ativos!A66</x:f>
        <x:v>0</x:v>
      </x:c>
      <x:c r="B66" s="2" t="n">
        <x:f>Ativos!N66</x:f>
        <x:v>0</x:v>
      </x:c>
      <x:c r="C66" t="n">
        <x:f>Ativos!O66</x:f>
        <x:v>0</x:v>
      </x:c>
      <x:c r="D66" t="n">
        <x:f>Ativos!P66</x:f>
        <x:v>0</x:v>
      </x:c>
      <x:c r="E66" t="n">
        <x:f>Ativos!C66</x:f>
        <x:v>0</x:v>
      </x:c>
      <x:c r="F66" t="n">
        <x:f>Ativos!E66</x:f>
        <x:v>0</x:v>
      </x:c>
      <x:c r="G66" t="n">
        <x:f>Ativos!G66</x:f>
        <x:v>0</x:v>
      </x:c>
      <x:c r="H66" t="n">
        <x:f>Ativos!I66</x:f>
        <x:v>0</x:v>
      </x:c>
      <x:c r="I66" t="n">
        <x:f>Ativos!S66</x:f>
        <x:v>0</x:v>
      </x:c>
      <x:c r="J66" t="str">
        <x:f>Ativos!U66</x:f>
        <x:v>Sem data</x:v>
      </x:c>
      <x:c r="K66" s="3" t="n">
        <x:f>Ativos!R66</x:f>
        <x:v>0</x:v>
      </x:c>
    </x:row>
    <x:row r="67">
      <x:c r="A67" t="n">
        <x:f>Ativos!A67</x:f>
        <x:v>0</x:v>
      </x:c>
      <x:c r="B67" s="2" t="n">
        <x:f>Ativos!N67</x:f>
        <x:v>0</x:v>
      </x:c>
      <x:c r="C67" t="n">
        <x:f>Ativos!O67</x:f>
        <x:v>0</x:v>
      </x:c>
      <x:c r="D67" t="n">
        <x:f>Ativos!P67</x:f>
        <x:v>0</x:v>
      </x:c>
      <x:c r="E67" t="n">
        <x:f>Ativos!C67</x:f>
        <x:v>0</x:v>
      </x:c>
      <x:c r="F67" t="n">
        <x:f>Ativos!E67</x:f>
        <x:v>0</x:v>
      </x:c>
      <x:c r="G67" t="n">
        <x:f>Ativos!G67</x:f>
        <x:v>0</x:v>
      </x:c>
      <x:c r="H67" t="n">
        <x:f>Ativos!I67</x:f>
        <x:v>0</x:v>
      </x:c>
      <x:c r="I67" t="n">
        <x:f>Ativos!S67</x:f>
        <x:v>0</x:v>
      </x:c>
      <x:c r="J67" t="str">
        <x:f>Ativos!U67</x:f>
        <x:v>Sem data</x:v>
      </x:c>
      <x:c r="K67" s="3" t="n">
        <x:f>Ativos!R67</x:f>
        <x:v>0</x:v>
      </x:c>
    </x:row>
    <x:row r="68">
      <x:c r="A68" t="n">
        <x:f>Ativos!A68</x:f>
        <x:v>0</x:v>
      </x:c>
      <x:c r="B68" s="2" t="n">
        <x:f>Ativos!N68</x:f>
        <x:v>0</x:v>
      </x:c>
      <x:c r="C68" t="n">
        <x:f>Ativos!O68</x:f>
        <x:v>0</x:v>
      </x:c>
      <x:c r="D68" t="n">
        <x:f>Ativos!P68</x:f>
        <x:v>0</x:v>
      </x:c>
      <x:c r="E68" t="n">
        <x:f>Ativos!C68</x:f>
        <x:v>0</x:v>
      </x:c>
      <x:c r="F68" t="n">
        <x:f>Ativos!E68</x:f>
        <x:v>0</x:v>
      </x:c>
      <x:c r="G68" t="n">
        <x:f>Ativos!G68</x:f>
        <x:v>0</x:v>
      </x:c>
      <x:c r="H68" t="n">
        <x:f>Ativos!I68</x:f>
        <x:v>0</x:v>
      </x:c>
      <x:c r="I68" t="n">
        <x:f>Ativos!S68</x:f>
        <x:v>0</x:v>
      </x:c>
      <x:c r="J68" t="str">
        <x:f>Ativos!U68</x:f>
        <x:v>Sem data</x:v>
      </x:c>
      <x:c r="K68" s="3" t="n">
        <x:f>Ativos!R68</x:f>
        <x:v>0</x:v>
      </x:c>
    </x:row>
    <x:row r="69">
      <x:c r="A69" t="n">
        <x:f>Ativos!A69</x:f>
        <x:v>0</x:v>
      </x:c>
      <x:c r="B69" s="2" t="n">
        <x:f>Ativos!N69</x:f>
        <x:v>0</x:v>
      </x:c>
      <x:c r="C69" t="n">
        <x:f>Ativos!O69</x:f>
        <x:v>0</x:v>
      </x:c>
      <x:c r="D69" t="n">
        <x:f>Ativos!P69</x:f>
        <x:v>0</x:v>
      </x:c>
      <x:c r="E69" t="n">
        <x:f>Ativos!C69</x:f>
        <x:v>0</x:v>
      </x:c>
      <x:c r="F69" t="n">
        <x:f>Ativos!E69</x:f>
        <x:v>0</x:v>
      </x:c>
      <x:c r="G69" t="n">
        <x:f>Ativos!G69</x:f>
        <x:v>0</x:v>
      </x:c>
      <x:c r="H69" t="n">
        <x:f>Ativos!I69</x:f>
        <x:v>0</x:v>
      </x:c>
      <x:c r="I69" t="n">
        <x:f>Ativos!S69</x:f>
        <x:v>0</x:v>
      </x:c>
      <x:c r="J69" t="str">
        <x:f>Ativos!U69</x:f>
        <x:v>Sem data</x:v>
      </x:c>
      <x:c r="K69" s="3" t="n">
        <x:f>Ativos!R69</x:f>
        <x:v>0</x:v>
      </x:c>
    </x:row>
    <x:row r="70">
      <x:c r="A70" t="n">
        <x:f>Ativos!A70</x:f>
        <x:v>0</x:v>
      </x:c>
      <x:c r="B70" s="2" t="n">
        <x:f>Ativos!N70</x:f>
        <x:v>0</x:v>
      </x:c>
      <x:c r="C70" t="n">
        <x:f>Ativos!O70</x:f>
        <x:v>0</x:v>
      </x:c>
      <x:c r="D70" t="n">
        <x:f>Ativos!P70</x:f>
        <x:v>0</x:v>
      </x:c>
      <x:c r="E70" t="n">
        <x:f>Ativos!C70</x:f>
        <x:v>0</x:v>
      </x:c>
      <x:c r="F70" t="n">
        <x:f>Ativos!E70</x:f>
        <x:v>0</x:v>
      </x:c>
      <x:c r="G70" t="n">
        <x:f>Ativos!G70</x:f>
        <x:v>0</x:v>
      </x:c>
      <x:c r="H70" t="n">
        <x:f>Ativos!I70</x:f>
        <x:v>0</x:v>
      </x:c>
      <x:c r="I70" t="n">
        <x:f>Ativos!S70</x:f>
        <x:v>0</x:v>
      </x:c>
      <x:c r="J70" t="str">
        <x:f>Ativos!U70</x:f>
        <x:v>Sem data</x:v>
      </x:c>
      <x:c r="K70" s="3" t="n">
        <x:f>Ativos!R70</x:f>
        <x:v>0</x:v>
      </x:c>
    </x:row>
    <x:row r="71">
      <x:c r="A71" t="n">
        <x:f>Ativos!A71</x:f>
        <x:v>0</x:v>
      </x:c>
      <x:c r="B71" s="2" t="n">
        <x:f>Ativos!N71</x:f>
        <x:v>0</x:v>
      </x:c>
      <x:c r="C71" t="n">
        <x:f>Ativos!O71</x:f>
        <x:v>0</x:v>
      </x:c>
      <x:c r="D71" t="n">
        <x:f>Ativos!P71</x:f>
        <x:v>0</x:v>
      </x:c>
      <x:c r="E71" t="n">
        <x:f>Ativos!C71</x:f>
        <x:v>0</x:v>
      </x:c>
      <x:c r="F71" t="n">
        <x:f>Ativos!E71</x:f>
        <x:v>0</x:v>
      </x:c>
      <x:c r="G71" t="n">
        <x:f>Ativos!G71</x:f>
        <x:v>0</x:v>
      </x:c>
      <x:c r="H71" t="n">
        <x:f>Ativos!I71</x:f>
        <x:v>0</x:v>
      </x:c>
      <x:c r="I71" t="n">
        <x:f>Ativos!S71</x:f>
        <x:v>0</x:v>
      </x:c>
      <x:c r="J71" t="str">
        <x:f>Ativos!U71</x:f>
        <x:v>Sem data</x:v>
      </x:c>
      <x:c r="K71" s="3" t="n">
        <x:f>Ativos!R71</x:f>
        <x:v>0</x:v>
      </x:c>
    </x:row>
    <x:row r="72">
      <x:c r="A72" t="n">
        <x:f>Ativos!A72</x:f>
        <x:v>0</x:v>
      </x:c>
      <x:c r="B72" s="2" t="n">
        <x:f>Ativos!N72</x:f>
        <x:v>0</x:v>
      </x:c>
      <x:c r="C72" t="n">
        <x:f>Ativos!O72</x:f>
        <x:v>0</x:v>
      </x:c>
      <x:c r="D72" t="n">
        <x:f>Ativos!P72</x:f>
        <x:v>0</x:v>
      </x:c>
      <x:c r="E72" t="n">
        <x:f>Ativos!C72</x:f>
        <x:v>0</x:v>
      </x:c>
      <x:c r="F72" t="n">
        <x:f>Ativos!E72</x:f>
        <x:v>0</x:v>
      </x:c>
      <x:c r="G72" t="n">
        <x:f>Ativos!G72</x:f>
        <x:v>0</x:v>
      </x:c>
      <x:c r="H72" t="n">
        <x:f>Ativos!I72</x:f>
        <x:v>0</x:v>
      </x:c>
      <x:c r="I72" t="n">
        <x:f>Ativos!S72</x:f>
        <x:v>0</x:v>
      </x:c>
      <x:c r="J72" t="str">
        <x:f>Ativos!U72</x:f>
        <x:v>Sem data</x:v>
      </x:c>
      <x:c r="K72" s="3" t="n">
        <x:f>Ativos!R72</x:f>
        <x:v>0</x:v>
      </x:c>
    </x:row>
    <x:row r="73">
      <x:c r="A73" t="n">
        <x:f>Ativos!A73</x:f>
        <x:v>0</x:v>
      </x:c>
      <x:c r="B73" s="2" t="n">
        <x:f>Ativos!N73</x:f>
        <x:v>0</x:v>
      </x:c>
      <x:c r="C73" t="n">
        <x:f>Ativos!O73</x:f>
        <x:v>0</x:v>
      </x:c>
      <x:c r="D73" t="n">
        <x:f>Ativos!P73</x:f>
        <x:v>0</x:v>
      </x:c>
      <x:c r="E73" t="n">
        <x:f>Ativos!C73</x:f>
        <x:v>0</x:v>
      </x:c>
      <x:c r="F73" t="n">
        <x:f>Ativos!E73</x:f>
        <x:v>0</x:v>
      </x:c>
      <x:c r="G73" t="n">
        <x:f>Ativos!G73</x:f>
        <x:v>0</x:v>
      </x:c>
      <x:c r="H73" t="n">
        <x:f>Ativos!I73</x:f>
        <x:v>0</x:v>
      </x:c>
      <x:c r="I73" t="n">
        <x:f>Ativos!S73</x:f>
        <x:v>0</x:v>
      </x:c>
      <x:c r="J73" t="str">
        <x:f>Ativos!U73</x:f>
        <x:v>Sem data</x:v>
      </x:c>
      <x:c r="K73" s="3" t="n">
        <x:f>Ativos!R73</x:f>
        <x:v>0</x:v>
      </x:c>
    </x:row>
    <x:row r="74">
      <x:c r="A74" t="n">
        <x:f>Ativos!A74</x:f>
        <x:v>0</x:v>
      </x:c>
      <x:c r="B74" s="2" t="n">
        <x:f>Ativos!N74</x:f>
        <x:v>0</x:v>
      </x:c>
      <x:c r="C74" t="n">
        <x:f>Ativos!O74</x:f>
        <x:v>0</x:v>
      </x:c>
      <x:c r="D74" t="n">
        <x:f>Ativos!P74</x:f>
        <x:v>0</x:v>
      </x:c>
      <x:c r="E74" t="n">
        <x:f>Ativos!C74</x:f>
        <x:v>0</x:v>
      </x:c>
      <x:c r="F74" t="n">
        <x:f>Ativos!E74</x:f>
        <x:v>0</x:v>
      </x:c>
      <x:c r="G74" t="n">
        <x:f>Ativos!G74</x:f>
        <x:v>0</x:v>
      </x:c>
      <x:c r="H74" t="n">
        <x:f>Ativos!I74</x:f>
        <x:v>0</x:v>
      </x:c>
      <x:c r="I74" t="n">
        <x:f>Ativos!S74</x:f>
        <x:v>0</x:v>
      </x:c>
      <x:c r="J74" t="str">
        <x:f>Ativos!U74</x:f>
        <x:v>Sem data</x:v>
      </x:c>
      <x:c r="K74" s="3" t="n">
        <x:f>Ativos!R74</x:f>
        <x:v>0</x:v>
      </x:c>
    </x:row>
    <x:row r="75">
      <x:c r="A75" t="n">
        <x:f>Ativos!A75</x:f>
        <x:v>0</x:v>
      </x:c>
      <x:c r="B75" s="2" t="n">
        <x:f>Ativos!N75</x:f>
        <x:v>0</x:v>
      </x:c>
      <x:c r="C75" t="n">
        <x:f>Ativos!O75</x:f>
        <x:v>0</x:v>
      </x:c>
      <x:c r="D75" t="n">
        <x:f>Ativos!P75</x:f>
        <x:v>0</x:v>
      </x:c>
      <x:c r="E75" t="n">
        <x:f>Ativos!C75</x:f>
        <x:v>0</x:v>
      </x:c>
      <x:c r="F75" t="n">
        <x:f>Ativos!E75</x:f>
        <x:v>0</x:v>
      </x:c>
      <x:c r="G75" t="n">
        <x:f>Ativos!G75</x:f>
        <x:v>0</x:v>
      </x:c>
      <x:c r="H75" t="n">
        <x:f>Ativos!I75</x:f>
        <x:v>0</x:v>
      </x:c>
      <x:c r="I75" t="n">
        <x:f>Ativos!S75</x:f>
        <x:v>0</x:v>
      </x:c>
      <x:c r="J75" t="str">
        <x:f>Ativos!U75</x:f>
        <x:v>Sem data</x:v>
      </x:c>
      <x:c r="K75" s="3" t="n">
        <x:f>Ativos!R75</x:f>
        <x:v>0</x:v>
      </x:c>
    </x:row>
    <x:row r="76">
      <x:c r="A76" t="n">
        <x:f>Ativos!A76</x:f>
        <x:v>0</x:v>
      </x:c>
      <x:c r="B76" s="2" t="n">
        <x:f>Ativos!N76</x:f>
        <x:v>0</x:v>
      </x:c>
      <x:c r="C76" t="n">
        <x:f>Ativos!O76</x:f>
        <x:v>0</x:v>
      </x:c>
      <x:c r="D76" t="n">
        <x:f>Ativos!P76</x:f>
        <x:v>0</x:v>
      </x:c>
      <x:c r="E76" t="n">
        <x:f>Ativos!C76</x:f>
        <x:v>0</x:v>
      </x:c>
      <x:c r="F76" t="n">
        <x:f>Ativos!E76</x:f>
        <x:v>0</x:v>
      </x:c>
      <x:c r="G76" t="n">
        <x:f>Ativos!G76</x:f>
        <x:v>0</x:v>
      </x:c>
      <x:c r="H76" t="n">
        <x:f>Ativos!I76</x:f>
        <x:v>0</x:v>
      </x:c>
      <x:c r="I76" t="n">
        <x:f>Ativos!S76</x:f>
        <x:v>0</x:v>
      </x:c>
      <x:c r="J76" t="str">
        <x:f>Ativos!U76</x:f>
        <x:v>Sem data</x:v>
      </x:c>
      <x:c r="K76" s="3" t="n">
        <x:f>Ativos!R76</x:f>
        <x:v>0</x:v>
      </x:c>
    </x:row>
    <x:row r="77">
      <x:c r="A77" t="n">
        <x:f>Ativos!A77</x:f>
        <x:v>0</x:v>
      </x:c>
      <x:c r="B77" s="2" t="n">
        <x:f>Ativos!N77</x:f>
        <x:v>0</x:v>
      </x:c>
      <x:c r="C77" t="n">
        <x:f>Ativos!O77</x:f>
        <x:v>0</x:v>
      </x:c>
      <x:c r="D77" t="n">
        <x:f>Ativos!P77</x:f>
        <x:v>0</x:v>
      </x:c>
      <x:c r="E77" t="n">
        <x:f>Ativos!C77</x:f>
        <x:v>0</x:v>
      </x:c>
      <x:c r="F77" t="n">
        <x:f>Ativos!E77</x:f>
        <x:v>0</x:v>
      </x:c>
      <x:c r="G77" t="n">
        <x:f>Ativos!G77</x:f>
        <x:v>0</x:v>
      </x:c>
      <x:c r="H77" t="n">
        <x:f>Ativos!I77</x:f>
        <x:v>0</x:v>
      </x:c>
      <x:c r="I77" t="n">
        <x:f>Ativos!S77</x:f>
        <x:v>0</x:v>
      </x:c>
      <x:c r="J77" t="str">
        <x:f>Ativos!U77</x:f>
        <x:v>Sem data</x:v>
      </x:c>
      <x:c r="K77" s="3" t="n">
        <x:f>Ativos!R77</x:f>
        <x:v>0</x:v>
      </x:c>
    </x:row>
    <x:row r="78">
      <x:c r="A78" t="n">
        <x:f>Ativos!A78</x:f>
        <x:v>0</x:v>
      </x:c>
      <x:c r="B78" s="2" t="n">
        <x:f>Ativos!N78</x:f>
        <x:v>0</x:v>
      </x:c>
      <x:c r="C78" t="n">
        <x:f>Ativos!O78</x:f>
        <x:v>0</x:v>
      </x:c>
      <x:c r="D78" t="n">
        <x:f>Ativos!P78</x:f>
        <x:v>0</x:v>
      </x:c>
      <x:c r="E78" t="n">
        <x:f>Ativos!C78</x:f>
        <x:v>0</x:v>
      </x:c>
      <x:c r="F78" t="n">
        <x:f>Ativos!E78</x:f>
        <x:v>0</x:v>
      </x:c>
      <x:c r="G78" t="n">
        <x:f>Ativos!G78</x:f>
        <x:v>0</x:v>
      </x:c>
      <x:c r="H78" t="n">
        <x:f>Ativos!I78</x:f>
        <x:v>0</x:v>
      </x:c>
      <x:c r="I78" t="n">
        <x:f>Ativos!S78</x:f>
        <x:v>0</x:v>
      </x:c>
      <x:c r="J78" t="str">
        <x:f>Ativos!U78</x:f>
        <x:v>Sem data</x:v>
      </x:c>
      <x:c r="K78" s="3" t="n">
        <x:f>Ativos!R78</x:f>
        <x:v>0</x:v>
      </x:c>
    </x:row>
    <x:row r="79">
      <x:c r="A79" t="n">
        <x:f>Ativos!A79</x:f>
        <x:v>0</x:v>
      </x:c>
      <x:c r="B79" s="2" t="n">
        <x:f>Ativos!N79</x:f>
        <x:v>0</x:v>
      </x:c>
      <x:c r="C79" t="n">
        <x:f>Ativos!O79</x:f>
        <x:v>0</x:v>
      </x:c>
      <x:c r="D79" t="n">
        <x:f>Ativos!P79</x:f>
        <x:v>0</x:v>
      </x:c>
      <x:c r="E79" t="n">
        <x:f>Ativos!C79</x:f>
        <x:v>0</x:v>
      </x:c>
      <x:c r="F79" t="n">
        <x:f>Ativos!E79</x:f>
        <x:v>0</x:v>
      </x:c>
      <x:c r="G79" t="n">
        <x:f>Ativos!G79</x:f>
        <x:v>0</x:v>
      </x:c>
      <x:c r="H79" t="n">
        <x:f>Ativos!I79</x:f>
        <x:v>0</x:v>
      </x:c>
      <x:c r="I79" t="n">
        <x:f>Ativos!S79</x:f>
        <x:v>0</x:v>
      </x:c>
      <x:c r="J79" t="str">
        <x:f>Ativos!U79</x:f>
        <x:v>Sem data</x:v>
      </x:c>
      <x:c r="K79" s="3" t="n">
        <x:f>Ativos!R79</x:f>
        <x:v>0</x:v>
      </x:c>
    </x:row>
    <x:row r="80">
      <x:c r="A80" t="n">
        <x:f>Ativos!A80</x:f>
        <x:v>0</x:v>
      </x:c>
      <x:c r="B80" s="2" t="n">
        <x:f>Ativos!N80</x:f>
        <x:v>0</x:v>
      </x:c>
      <x:c r="C80" t="n">
        <x:f>Ativos!O80</x:f>
        <x:v>0</x:v>
      </x:c>
      <x:c r="D80" t="n">
        <x:f>Ativos!P80</x:f>
        <x:v>0</x:v>
      </x:c>
      <x:c r="E80" t="n">
        <x:f>Ativos!C80</x:f>
        <x:v>0</x:v>
      </x:c>
      <x:c r="F80" t="n">
        <x:f>Ativos!E80</x:f>
        <x:v>0</x:v>
      </x:c>
      <x:c r="G80" t="n">
        <x:f>Ativos!G80</x:f>
        <x:v>0</x:v>
      </x:c>
      <x:c r="H80" t="n">
        <x:f>Ativos!I80</x:f>
        <x:v>0</x:v>
      </x:c>
      <x:c r="I80" t="n">
        <x:f>Ativos!S80</x:f>
        <x:v>0</x:v>
      </x:c>
      <x:c r="J80" t="str">
        <x:f>Ativos!U80</x:f>
        <x:v>Sem data</x:v>
      </x:c>
      <x:c r="K80" s="3" t="n">
        <x:f>Ativos!R80</x:f>
        <x:v>0</x:v>
      </x:c>
    </x:row>
    <x:row r="81">
      <x:c r="A81" t="n">
        <x:f>Ativos!A81</x:f>
        <x:v>0</x:v>
      </x:c>
      <x:c r="B81" s="2" t="n">
        <x:f>Ativos!N81</x:f>
        <x:v>0</x:v>
      </x:c>
      <x:c r="C81" t="n">
        <x:f>Ativos!O81</x:f>
        <x:v>0</x:v>
      </x:c>
      <x:c r="D81" t="n">
        <x:f>Ativos!P81</x:f>
        <x:v>0</x:v>
      </x:c>
      <x:c r="E81" t="n">
        <x:f>Ativos!C81</x:f>
        <x:v>0</x:v>
      </x:c>
      <x:c r="F81" t="n">
        <x:f>Ativos!E81</x:f>
        <x:v>0</x:v>
      </x:c>
      <x:c r="G81" t="n">
        <x:f>Ativos!G81</x:f>
        <x:v>0</x:v>
      </x:c>
      <x:c r="H81" t="n">
        <x:f>Ativos!I81</x:f>
        <x:v>0</x:v>
      </x:c>
      <x:c r="I81" t="n">
        <x:f>Ativos!S81</x:f>
        <x:v>0</x:v>
      </x:c>
      <x:c r="J81" t="str">
        <x:f>Ativos!U81</x:f>
        <x:v>Sem data</x:v>
      </x:c>
      <x:c r="K81" s="3" t="n">
        <x:f>Ativos!R81</x:f>
        <x:v>0</x:v>
      </x:c>
    </x:row>
    <x:row r="82">
      <x:c r="A82" t="n">
        <x:f>Ativos!A82</x:f>
        <x:v>0</x:v>
      </x:c>
      <x:c r="B82" s="2" t="n">
        <x:f>Ativos!N82</x:f>
        <x:v>0</x:v>
      </x:c>
      <x:c r="C82" t="n">
        <x:f>Ativos!O82</x:f>
        <x:v>0</x:v>
      </x:c>
      <x:c r="D82" t="n">
        <x:f>Ativos!P82</x:f>
        <x:v>0</x:v>
      </x:c>
      <x:c r="E82" t="n">
        <x:f>Ativos!C82</x:f>
        <x:v>0</x:v>
      </x:c>
      <x:c r="F82" t="n">
        <x:f>Ativos!E82</x:f>
        <x:v>0</x:v>
      </x:c>
      <x:c r="G82" t="n">
        <x:f>Ativos!G82</x:f>
        <x:v>0</x:v>
      </x:c>
      <x:c r="H82" t="n">
        <x:f>Ativos!I82</x:f>
        <x:v>0</x:v>
      </x:c>
      <x:c r="I82" t="n">
        <x:f>Ativos!S82</x:f>
        <x:v>0</x:v>
      </x:c>
      <x:c r="J82" t="str">
        <x:f>Ativos!U82</x:f>
        <x:v>Sem data</x:v>
      </x:c>
      <x:c r="K82" s="3" t="n">
        <x:f>Ativos!R82</x:f>
        <x:v>0</x:v>
      </x:c>
    </x:row>
    <x:row r="83">
      <x:c r="A83" t="n">
        <x:f>Ativos!A83</x:f>
        <x:v>0</x:v>
      </x:c>
      <x:c r="B83" s="2" t="n">
        <x:f>Ativos!N83</x:f>
        <x:v>0</x:v>
      </x:c>
      <x:c r="C83" t="n">
        <x:f>Ativos!O83</x:f>
        <x:v>0</x:v>
      </x:c>
      <x:c r="D83" t="n">
        <x:f>Ativos!P83</x:f>
        <x:v>0</x:v>
      </x:c>
      <x:c r="E83" t="n">
        <x:f>Ativos!C83</x:f>
        <x:v>0</x:v>
      </x:c>
      <x:c r="F83" t="n">
        <x:f>Ativos!E83</x:f>
        <x:v>0</x:v>
      </x:c>
      <x:c r="G83" t="n">
        <x:f>Ativos!G83</x:f>
        <x:v>0</x:v>
      </x:c>
      <x:c r="H83" t="n">
        <x:f>Ativos!I83</x:f>
        <x:v>0</x:v>
      </x:c>
      <x:c r="I83" t="n">
        <x:f>Ativos!S83</x:f>
        <x:v>0</x:v>
      </x:c>
      <x:c r="J83" t="str">
        <x:f>Ativos!U83</x:f>
        <x:v>Sem data</x:v>
      </x:c>
      <x:c r="K83" s="3" t="n">
        <x:f>Ativos!R83</x:f>
        <x:v>0</x:v>
      </x:c>
    </x:row>
    <x:row r="84">
      <x:c r="A84" t="n">
        <x:f>Ativos!A84</x:f>
        <x:v>0</x:v>
      </x:c>
      <x:c r="B84" s="2" t="n">
        <x:f>Ativos!N84</x:f>
        <x:v>0</x:v>
      </x:c>
      <x:c r="C84" t="n">
        <x:f>Ativos!O84</x:f>
        <x:v>0</x:v>
      </x:c>
      <x:c r="D84" t="n">
        <x:f>Ativos!P84</x:f>
        <x:v>0</x:v>
      </x:c>
      <x:c r="E84" t="n">
        <x:f>Ativos!C84</x:f>
        <x:v>0</x:v>
      </x:c>
      <x:c r="F84" t="n">
        <x:f>Ativos!E84</x:f>
        <x:v>0</x:v>
      </x:c>
      <x:c r="G84" t="n">
        <x:f>Ativos!G84</x:f>
        <x:v>0</x:v>
      </x:c>
      <x:c r="H84" t="n">
        <x:f>Ativos!I84</x:f>
        <x:v>0</x:v>
      </x:c>
      <x:c r="I84" t="n">
        <x:f>Ativos!S84</x:f>
        <x:v>0</x:v>
      </x:c>
      <x:c r="J84" t="str">
        <x:f>Ativos!U84</x:f>
        <x:v>Sem data</x:v>
      </x:c>
      <x:c r="K84" s="3" t="n">
        <x:f>Ativos!R84</x:f>
        <x:v>0</x:v>
      </x:c>
    </x:row>
    <x:row r="85">
      <x:c r="A85" t="n">
        <x:f>Ativos!A85</x:f>
        <x:v>0</x:v>
      </x:c>
      <x:c r="B85" s="2" t="n">
        <x:f>Ativos!N85</x:f>
        <x:v>0</x:v>
      </x:c>
      <x:c r="C85" t="n">
        <x:f>Ativos!O85</x:f>
        <x:v>0</x:v>
      </x:c>
      <x:c r="D85" t="n">
        <x:f>Ativos!P85</x:f>
        <x:v>0</x:v>
      </x:c>
      <x:c r="E85" t="n">
        <x:f>Ativos!C85</x:f>
        <x:v>0</x:v>
      </x:c>
      <x:c r="F85" t="n">
        <x:f>Ativos!E85</x:f>
        <x:v>0</x:v>
      </x:c>
      <x:c r="G85" t="n">
        <x:f>Ativos!G85</x:f>
        <x:v>0</x:v>
      </x:c>
      <x:c r="H85" t="n">
        <x:f>Ativos!I85</x:f>
        <x:v>0</x:v>
      </x:c>
      <x:c r="I85" t="n">
        <x:f>Ativos!S85</x:f>
        <x:v>0</x:v>
      </x:c>
      <x:c r="J85" t="str">
        <x:f>Ativos!U85</x:f>
        <x:v>Sem data</x:v>
      </x:c>
      <x:c r="K85" s="3" t="n">
        <x:f>Ativos!R85</x:f>
        <x:v>0</x:v>
      </x:c>
    </x:row>
    <x:row r="86">
      <x:c r="A86" t="n">
        <x:f>Ativos!A86</x:f>
        <x:v>0</x:v>
      </x:c>
      <x:c r="B86" s="2" t="n">
        <x:f>Ativos!N86</x:f>
        <x:v>0</x:v>
      </x:c>
      <x:c r="C86" t="n">
        <x:f>Ativos!O86</x:f>
        <x:v>0</x:v>
      </x:c>
      <x:c r="D86" t="n">
        <x:f>Ativos!P86</x:f>
        <x:v>0</x:v>
      </x:c>
      <x:c r="E86" t="n">
        <x:f>Ativos!C86</x:f>
        <x:v>0</x:v>
      </x:c>
      <x:c r="F86" t="n">
        <x:f>Ativos!E86</x:f>
        <x:v>0</x:v>
      </x:c>
      <x:c r="G86" t="n">
        <x:f>Ativos!G86</x:f>
        <x:v>0</x:v>
      </x:c>
      <x:c r="H86" t="n">
        <x:f>Ativos!I86</x:f>
        <x:v>0</x:v>
      </x:c>
      <x:c r="I86" t="n">
        <x:f>Ativos!S86</x:f>
        <x:v>0</x:v>
      </x:c>
      <x:c r="J86" t="str">
        <x:f>Ativos!U86</x:f>
        <x:v>Sem data</x:v>
      </x:c>
      <x:c r="K86" s="3" t="n">
        <x:f>Ativos!R86</x:f>
        <x:v>0</x:v>
      </x:c>
    </x:row>
    <x:row r="87">
      <x:c r="A87" t="n">
        <x:f>Ativos!A87</x:f>
        <x:v>0</x:v>
      </x:c>
      <x:c r="B87" s="2" t="n">
        <x:f>Ativos!N87</x:f>
        <x:v>0</x:v>
      </x:c>
      <x:c r="C87" t="n">
        <x:f>Ativos!O87</x:f>
        <x:v>0</x:v>
      </x:c>
      <x:c r="D87" t="n">
        <x:f>Ativos!P87</x:f>
        <x:v>0</x:v>
      </x:c>
      <x:c r="E87" t="n">
        <x:f>Ativos!C87</x:f>
        <x:v>0</x:v>
      </x:c>
      <x:c r="F87" t="n">
        <x:f>Ativos!E87</x:f>
        <x:v>0</x:v>
      </x:c>
      <x:c r="G87" t="n">
        <x:f>Ativos!G87</x:f>
        <x:v>0</x:v>
      </x:c>
      <x:c r="H87" t="n">
        <x:f>Ativos!I87</x:f>
        <x:v>0</x:v>
      </x:c>
      <x:c r="I87" t="n">
        <x:f>Ativos!S87</x:f>
        <x:v>0</x:v>
      </x:c>
      <x:c r="J87" t="str">
        <x:f>Ativos!U87</x:f>
        <x:v>Sem data</x:v>
      </x:c>
      <x:c r="K87" s="3" t="n">
        <x:f>Ativos!R87</x:f>
        <x:v>0</x:v>
      </x:c>
    </x:row>
    <x:row r="88">
      <x:c r="A88" t="n">
        <x:f>Ativos!A88</x:f>
        <x:v>0</x:v>
      </x:c>
      <x:c r="B88" s="2" t="n">
        <x:f>Ativos!N88</x:f>
        <x:v>0</x:v>
      </x:c>
      <x:c r="C88" t="n">
        <x:f>Ativos!O88</x:f>
        <x:v>0</x:v>
      </x:c>
      <x:c r="D88" t="n">
        <x:f>Ativos!P88</x:f>
        <x:v>0</x:v>
      </x:c>
      <x:c r="E88" t="n">
        <x:f>Ativos!C88</x:f>
        <x:v>0</x:v>
      </x:c>
      <x:c r="F88" t="n">
        <x:f>Ativos!E88</x:f>
        <x:v>0</x:v>
      </x:c>
      <x:c r="G88" t="n">
        <x:f>Ativos!G88</x:f>
        <x:v>0</x:v>
      </x:c>
      <x:c r="H88" t="n">
        <x:f>Ativos!I88</x:f>
        <x:v>0</x:v>
      </x:c>
      <x:c r="I88" t="n">
        <x:f>Ativos!S88</x:f>
        <x:v>0</x:v>
      </x:c>
      <x:c r="J88" t="str">
        <x:f>Ativos!U88</x:f>
        <x:v>Sem data</x:v>
      </x:c>
      <x:c r="K88" s="3" t="n">
        <x:f>Ativos!R88</x:f>
        <x:v>0</x:v>
      </x:c>
    </x:row>
    <x:row r="89">
      <x:c r="A89" t="n">
        <x:f>Ativos!A89</x:f>
        <x:v>0</x:v>
      </x:c>
      <x:c r="B89" s="2" t="n">
        <x:f>Ativos!N89</x:f>
        <x:v>0</x:v>
      </x:c>
      <x:c r="C89" t="n">
        <x:f>Ativos!O89</x:f>
        <x:v>0</x:v>
      </x:c>
      <x:c r="D89" t="n">
        <x:f>Ativos!P89</x:f>
        <x:v>0</x:v>
      </x:c>
      <x:c r="E89" t="n">
        <x:f>Ativos!C89</x:f>
        <x:v>0</x:v>
      </x:c>
      <x:c r="F89" t="n">
        <x:f>Ativos!E89</x:f>
        <x:v>0</x:v>
      </x:c>
      <x:c r="G89" t="n">
        <x:f>Ativos!G89</x:f>
        <x:v>0</x:v>
      </x:c>
      <x:c r="H89" t="n">
        <x:f>Ativos!I89</x:f>
        <x:v>0</x:v>
      </x:c>
      <x:c r="I89" t="n">
        <x:f>Ativos!S89</x:f>
        <x:v>0</x:v>
      </x:c>
      <x:c r="J89" t="str">
        <x:f>Ativos!U89</x:f>
        <x:v>Sem data</x:v>
      </x:c>
      <x:c r="K89" s="3" t="n">
        <x:f>Ativos!R89</x:f>
        <x:v>0</x:v>
      </x:c>
    </x:row>
    <x:row r="90">
      <x:c r="A90" t="n">
        <x:f>Ativos!A90</x:f>
        <x:v>0</x:v>
      </x:c>
      <x:c r="B90" s="2" t="n">
        <x:f>Ativos!N90</x:f>
        <x:v>0</x:v>
      </x:c>
      <x:c r="C90" t="n">
        <x:f>Ativos!O90</x:f>
        <x:v>0</x:v>
      </x:c>
      <x:c r="D90" t="n">
        <x:f>Ativos!P90</x:f>
        <x:v>0</x:v>
      </x:c>
      <x:c r="E90" t="n">
        <x:f>Ativos!C90</x:f>
        <x:v>0</x:v>
      </x:c>
      <x:c r="F90" t="n">
        <x:f>Ativos!E90</x:f>
        <x:v>0</x:v>
      </x:c>
      <x:c r="G90" t="n">
        <x:f>Ativos!G90</x:f>
        <x:v>0</x:v>
      </x:c>
      <x:c r="H90" t="n">
        <x:f>Ativos!I90</x:f>
        <x:v>0</x:v>
      </x:c>
      <x:c r="I90" t="n">
        <x:f>Ativos!S90</x:f>
        <x:v>0</x:v>
      </x:c>
      <x:c r="J90" t="str">
        <x:f>Ativos!U90</x:f>
        <x:v>Sem data</x:v>
      </x:c>
      <x:c r="K90" s="3" t="n">
        <x:f>Ativos!R90</x:f>
        <x:v>0</x:v>
      </x:c>
    </x:row>
    <x:row r="91">
      <x:c r="A91" t="n">
        <x:f>Ativos!A91</x:f>
        <x:v>0</x:v>
      </x:c>
      <x:c r="B91" s="2" t="n">
        <x:f>Ativos!N91</x:f>
        <x:v>0</x:v>
      </x:c>
      <x:c r="C91" t="n">
        <x:f>Ativos!O91</x:f>
        <x:v>0</x:v>
      </x:c>
      <x:c r="D91" t="n">
        <x:f>Ativos!P91</x:f>
        <x:v>0</x:v>
      </x:c>
      <x:c r="E91" t="n">
        <x:f>Ativos!C91</x:f>
        <x:v>0</x:v>
      </x:c>
      <x:c r="F91" t="n">
        <x:f>Ativos!E91</x:f>
        <x:v>0</x:v>
      </x:c>
      <x:c r="G91" t="n">
        <x:f>Ativos!G91</x:f>
        <x:v>0</x:v>
      </x:c>
      <x:c r="H91" t="n">
        <x:f>Ativos!I91</x:f>
        <x:v>0</x:v>
      </x:c>
      <x:c r="I91" t="n">
        <x:f>Ativos!S91</x:f>
        <x:v>0</x:v>
      </x:c>
      <x:c r="J91" t="str">
        <x:f>Ativos!U91</x:f>
        <x:v>Sem data</x:v>
      </x:c>
      <x:c r="K91" s="3" t="n">
        <x:f>Ativos!R91</x:f>
        <x:v>0</x:v>
      </x:c>
    </x:row>
    <x:row r="92">
      <x:c r="A92" t="n">
        <x:f>Ativos!A92</x:f>
        <x:v>0</x:v>
      </x:c>
      <x:c r="B92" s="2" t="n">
        <x:f>Ativos!N92</x:f>
        <x:v>0</x:v>
      </x:c>
      <x:c r="C92" t="n">
        <x:f>Ativos!O92</x:f>
        <x:v>0</x:v>
      </x:c>
      <x:c r="D92" t="n">
        <x:f>Ativos!P92</x:f>
        <x:v>0</x:v>
      </x:c>
      <x:c r="E92" t="n">
        <x:f>Ativos!C92</x:f>
        <x:v>0</x:v>
      </x:c>
      <x:c r="F92" t="n">
        <x:f>Ativos!E92</x:f>
        <x:v>0</x:v>
      </x:c>
      <x:c r="G92" t="n">
        <x:f>Ativos!G92</x:f>
        <x:v>0</x:v>
      </x:c>
      <x:c r="H92" t="n">
        <x:f>Ativos!I92</x:f>
        <x:v>0</x:v>
      </x:c>
      <x:c r="I92" t="n">
        <x:f>Ativos!S92</x:f>
        <x:v>0</x:v>
      </x:c>
      <x:c r="J92" t="str">
        <x:f>Ativos!U92</x:f>
        <x:v>Sem data</x:v>
      </x:c>
      <x:c r="K92" s="3" t="n">
        <x:f>Ativos!R92</x:f>
        <x:v>0</x:v>
      </x:c>
    </x:row>
    <x:row r="93">
      <x:c r="A93" t="n">
        <x:f>Ativos!A93</x:f>
        <x:v>0</x:v>
      </x:c>
      <x:c r="B93" s="2" t="n">
        <x:f>Ativos!N93</x:f>
        <x:v>0</x:v>
      </x:c>
      <x:c r="C93" t="n">
        <x:f>Ativos!O93</x:f>
        <x:v>0</x:v>
      </x:c>
      <x:c r="D93" t="n">
        <x:f>Ativos!P93</x:f>
        <x:v>0</x:v>
      </x:c>
      <x:c r="E93" t="n">
        <x:f>Ativos!C93</x:f>
        <x:v>0</x:v>
      </x:c>
      <x:c r="F93" t="n">
        <x:f>Ativos!E93</x:f>
        <x:v>0</x:v>
      </x:c>
      <x:c r="G93" t="n">
        <x:f>Ativos!G93</x:f>
        <x:v>0</x:v>
      </x:c>
      <x:c r="H93" t="n">
        <x:f>Ativos!I93</x:f>
        <x:v>0</x:v>
      </x:c>
      <x:c r="I93" t="n">
        <x:f>Ativos!S93</x:f>
        <x:v>0</x:v>
      </x:c>
      <x:c r="J93" t="str">
        <x:f>Ativos!U93</x:f>
        <x:v>Sem data</x:v>
      </x:c>
      <x:c r="K93" s="3" t="n">
        <x:f>Ativos!R93</x:f>
        <x:v>0</x:v>
      </x:c>
    </x:row>
    <x:row r="94">
      <x:c r="A94" t="n">
        <x:f>Ativos!A94</x:f>
        <x:v>0</x:v>
      </x:c>
      <x:c r="B94" s="2" t="n">
        <x:f>Ativos!N94</x:f>
        <x:v>0</x:v>
      </x:c>
      <x:c r="C94" t="n">
        <x:f>Ativos!O94</x:f>
        <x:v>0</x:v>
      </x:c>
      <x:c r="D94" t="n">
        <x:f>Ativos!P94</x:f>
        <x:v>0</x:v>
      </x:c>
      <x:c r="E94" t="n">
        <x:f>Ativos!C94</x:f>
        <x:v>0</x:v>
      </x:c>
      <x:c r="F94" t="n">
        <x:f>Ativos!E94</x:f>
        <x:v>0</x:v>
      </x:c>
      <x:c r="G94" t="n">
        <x:f>Ativos!G94</x:f>
        <x:v>0</x:v>
      </x:c>
      <x:c r="H94" t="n">
        <x:f>Ativos!I94</x:f>
        <x:v>0</x:v>
      </x:c>
      <x:c r="I94" t="n">
        <x:f>Ativos!S94</x:f>
        <x:v>0</x:v>
      </x:c>
      <x:c r="J94" t="str">
        <x:f>Ativos!U94</x:f>
        <x:v>Sem data</x:v>
      </x:c>
      <x:c r="K94" s="3" t="n">
        <x:f>Ativos!R94</x:f>
        <x:v>0</x:v>
      </x:c>
    </x:row>
    <x:row r="95">
      <x:c r="A95" t="n">
        <x:f>Ativos!A95</x:f>
        <x:v>0</x:v>
      </x:c>
      <x:c r="B95" s="2" t="n">
        <x:f>Ativos!N95</x:f>
        <x:v>0</x:v>
      </x:c>
      <x:c r="C95" t="n">
        <x:f>Ativos!O95</x:f>
        <x:v>0</x:v>
      </x:c>
      <x:c r="D95" t="n">
        <x:f>Ativos!P95</x:f>
        <x:v>0</x:v>
      </x:c>
      <x:c r="E95" t="n">
        <x:f>Ativos!C95</x:f>
        <x:v>0</x:v>
      </x:c>
      <x:c r="F95" t="n">
        <x:f>Ativos!E95</x:f>
        <x:v>0</x:v>
      </x:c>
      <x:c r="G95" t="n">
        <x:f>Ativos!G95</x:f>
        <x:v>0</x:v>
      </x:c>
      <x:c r="H95" t="n">
        <x:f>Ativos!I95</x:f>
        <x:v>0</x:v>
      </x:c>
      <x:c r="I95" t="n">
        <x:f>Ativos!S95</x:f>
        <x:v>0</x:v>
      </x:c>
      <x:c r="J95" t="str">
        <x:f>Ativos!U95</x:f>
        <x:v>Sem data</x:v>
      </x:c>
      <x:c r="K95" s="3" t="n">
        <x:f>Ativos!R95</x:f>
        <x:v>0</x:v>
      </x:c>
    </x:row>
    <x:row r="96">
      <x:c r="A96" t="n">
        <x:f>Ativos!A96</x:f>
        <x:v>0</x:v>
      </x:c>
      <x:c r="B96" s="2" t="n">
        <x:f>Ativos!N96</x:f>
        <x:v>0</x:v>
      </x:c>
      <x:c r="C96" t="n">
        <x:f>Ativos!O96</x:f>
        <x:v>0</x:v>
      </x:c>
      <x:c r="D96" t="n">
        <x:f>Ativos!P96</x:f>
        <x:v>0</x:v>
      </x:c>
      <x:c r="E96" t="n">
        <x:f>Ativos!C96</x:f>
        <x:v>0</x:v>
      </x:c>
      <x:c r="F96" t="n">
        <x:f>Ativos!E96</x:f>
        <x:v>0</x:v>
      </x:c>
      <x:c r="G96" t="n">
        <x:f>Ativos!G96</x:f>
        <x:v>0</x:v>
      </x:c>
      <x:c r="H96" t="n">
        <x:f>Ativos!I96</x:f>
        <x:v>0</x:v>
      </x:c>
      <x:c r="I96" t="n">
        <x:f>Ativos!S96</x:f>
        <x:v>0</x:v>
      </x:c>
      <x:c r="J96" t="str">
        <x:f>Ativos!U96</x:f>
        <x:v>Sem data</x:v>
      </x:c>
      <x:c r="K96" s="3" t="n">
        <x:f>Ativos!R96</x:f>
        <x:v>0</x:v>
      </x:c>
    </x:row>
    <x:row r="97">
      <x:c r="A97" t="n">
        <x:f>Ativos!A97</x:f>
        <x:v>0</x:v>
      </x:c>
      <x:c r="B97" s="2" t="n">
        <x:f>Ativos!N97</x:f>
        <x:v>0</x:v>
      </x:c>
      <x:c r="C97" t="n">
        <x:f>Ativos!O97</x:f>
        <x:v>0</x:v>
      </x:c>
      <x:c r="D97" t="n">
        <x:f>Ativos!P97</x:f>
        <x:v>0</x:v>
      </x:c>
      <x:c r="E97" t="n">
        <x:f>Ativos!C97</x:f>
        <x:v>0</x:v>
      </x:c>
      <x:c r="F97" t="n">
        <x:f>Ativos!E97</x:f>
        <x:v>0</x:v>
      </x:c>
      <x:c r="G97" t="n">
        <x:f>Ativos!G97</x:f>
        <x:v>0</x:v>
      </x:c>
      <x:c r="H97" t="n">
        <x:f>Ativos!I97</x:f>
        <x:v>0</x:v>
      </x:c>
      <x:c r="I97" t="n">
        <x:f>Ativos!S97</x:f>
        <x:v>0</x:v>
      </x:c>
      <x:c r="J97" t="str">
        <x:f>Ativos!U97</x:f>
        <x:v>Sem data</x:v>
      </x:c>
      <x:c r="K97" s="3" t="n">
        <x:f>Ativos!R97</x:f>
        <x:v>0</x:v>
      </x:c>
    </x:row>
    <x:row r="98">
      <x:c r="A98" t="n">
        <x:f>Ativos!A98</x:f>
        <x:v>0</x:v>
      </x:c>
      <x:c r="B98" s="2" t="n">
        <x:f>Ativos!N98</x:f>
        <x:v>0</x:v>
      </x:c>
      <x:c r="C98" t="n">
        <x:f>Ativos!O98</x:f>
        <x:v>0</x:v>
      </x:c>
      <x:c r="D98" t="n">
        <x:f>Ativos!P98</x:f>
        <x:v>0</x:v>
      </x:c>
      <x:c r="E98" t="n">
        <x:f>Ativos!C98</x:f>
        <x:v>0</x:v>
      </x:c>
      <x:c r="F98" t="n">
        <x:f>Ativos!E98</x:f>
        <x:v>0</x:v>
      </x:c>
      <x:c r="G98" t="n">
        <x:f>Ativos!G98</x:f>
        <x:v>0</x:v>
      </x:c>
      <x:c r="H98" t="n">
        <x:f>Ativos!I98</x:f>
        <x:v>0</x:v>
      </x:c>
      <x:c r="I98" t="n">
        <x:f>Ativos!S98</x:f>
        <x:v>0</x:v>
      </x:c>
      <x:c r="J98" t="str">
        <x:f>Ativos!U98</x:f>
        <x:v>Sem data</x:v>
      </x:c>
      <x:c r="K98" s="3" t="n">
        <x:f>Ativos!R98</x:f>
        <x:v>0</x:v>
      </x:c>
    </x:row>
    <x:row r="99">
      <x:c r="A99" t="n">
        <x:f>Ativos!A99</x:f>
        <x:v>0</x:v>
      </x:c>
      <x:c r="B99" s="2" t="n">
        <x:f>Ativos!N99</x:f>
        <x:v>0</x:v>
      </x:c>
      <x:c r="C99" t="n">
        <x:f>Ativos!O99</x:f>
        <x:v>0</x:v>
      </x:c>
      <x:c r="D99" t="n">
        <x:f>Ativos!P99</x:f>
        <x:v>0</x:v>
      </x:c>
      <x:c r="E99" t="n">
        <x:f>Ativos!C99</x:f>
        <x:v>0</x:v>
      </x:c>
      <x:c r="F99" t="n">
        <x:f>Ativos!E99</x:f>
        <x:v>0</x:v>
      </x:c>
      <x:c r="G99" t="n">
        <x:f>Ativos!G99</x:f>
        <x:v>0</x:v>
      </x:c>
      <x:c r="H99" t="n">
        <x:f>Ativos!I99</x:f>
        <x:v>0</x:v>
      </x:c>
      <x:c r="I99" t="n">
        <x:f>Ativos!S99</x:f>
        <x:v>0</x:v>
      </x:c>
      <x:c r="J99" t="str">
        <x:f>Ativos!U99</x:f>
        <x:v>Sem data</x:v>
      </x:c>
      <x:c r="K99" s="3" t="n">
        <x:f>Ativos!R99</x:f>
        <x:v>0</x:v>
      </x:c>
    </x:row>
    <x:row r="100">
      <x:c r="A100" t="n">
        <x:f>Ativos!A100</x:f>
        <x:v>0</x:v>
      </x:c>
      <x:c r="B100" s="2" t="n">
        <x:f>Ativos!N100</x:f>
        <x:v>0</x:v>
      </x:c>
      <x:c r="C100" t="n">
        <x:f>Ativos!O100</x:f>
        <x:v>0</x:v>
      </x:c>
      <x:c r="D100" t="n">
        <x:f>Ativos!P100</x:f>
        <x:v>0</x:v>
      </x:c>
      <x:c r="E100" t="n">
        <x:f>Ativos!C100</x:f>
        <x:v>0</x:v>
      </x:c>
      <x:c r="F100" t="n">
        <x:f>Ativos!E100</x:f>
        <x:v>0</x:v>
      </x:c>
      <x:c r="G100" t="n">
        <x:f>Ativos!G100</x:f>
        <x:v>0</x:v>
      </x:c>
      <x:c r="H100" t="n">
        <x:f>Ativos!I100</x:f>
        <x:v>0</x:v>
      </x:c>
      <x:c r="I100" t="n">
        <x:f>Ativos!S100</x:f>
        <x:v>0</x:v>
      </x:c>
      <x:c r="J100" t="str">
        <x:f>Ativos!U100</x:f>
        <x:v>Sem data</x:v>
      </x:c>
      <x:c r="K100" s="3" t="n">
        <x:f>Ativos!R100</x:f>
        <x:v>0</x:v>
      </x:c>
    </x:row>
    <x:row r="101">
      <x:c r="A101" t="n">
        <x:f>Ativos!A101</x:f>
        <x:v>0</x:v>
      </x:c>
      <x:c r="B101" s="2" t="n">
        <x:f>Ativos!N101</x:f>
        <x:v>0</x:v>
      </x:c>
      <x:c r="C101" t="n">
        <x:f>Ativos!O101</x:f>
        <x:v>0</x:v>
      </x:c>
      <x:c r="D101" t="n">
        <x:f>Ativos!P101</x:f>
        <x:v>0</x:v>
      </x:c>
      <x:c r="E101" t="n">
        <x:f>Ativos!C101</x:f>
        <x:v>0</x:v>
      </x:c>
      <x:c r="F101" t="n">
        <x:f>Ativos!E101</x:f>
        <x:v>0</x:v>
      </x:c>
      <x:c r="G101" t="n">
        <x:f>Ativos!G101</x:f>
        <x:v>0</x:v>
      </x:c>
      <x:c r="H101" t="n">
        <x:f>Ativos!I101</x:f>
        <x:v>0</x:v>
      </x:c>
      <x:c r="I101" t="n">
        <x:f>Ativos!S101</x:f>
        <x:v>0</x:v>
      </x:c>
      <x:c r="J101" t="str">
        <x:f>Ativos!U101</x:f>
        <x:v>Sem data</x:v>
      </x:c>
      <x:c r="K101" s="3" t="n">
        <x:f>Ativos!R101</x:f>
        <x:v>0</x:v>
      </x:c>
    </x:row>
    <x:row r="102">
      <x:c r="A102" t="n">
        <x:f>Ativos!A102</x:f>
        <x:v>0</x:v>
      </x:c>
      <x:c r="B102" s="2" t="n">
        <x:f>Ativos!N102</x:f>
        <x:v>0</x:v>
      </x:c>
      <x:c r="C102" t="n">
        <x:f>Ativos!O102</x:f>
        <x:v>0</x:v>
      </x:c>
      <x:c r="D102" t="n">
        <x:f>Ativos!P102</x:f>
        <x:v>0</x:v>
      </x:c>
      <x:c r="E102" t="n">
        <x:f>Ativos!C102</x:f>
        <x:v>0</x:v>
      </x:c>
      <x:c r="F102" t="n">
        <x:f>Ativos!E102</x:f>
        <x:v>0</x:v>
      </x:c>
      <x:c r="G102" t="n">
        <x:f>Ativos!G102</x:f>
        <x:v>0</x:v>
      </x:c>
      <x:c r="H102" t="n">
        <x:f>Ativos!I102</x:f>
        <x:v>0</x:v>
      </x:c>
      <x:c r="I102" t="n">
        <x:f>Ativos!S102</x:f>
        <x:v>0</x:v>
      </x:c>
      <x:c r="J102" t="str">
        <x:f>Ativos!U102</x:f>
        <x:v>Sem data</x:v>
      </x:c>
      <x:c r="K102" s="3" t="n">
        <x:f>Ativos!R102</x:f>
        <x:v>0</x:v>
      </x:c>
    </x:row>
    <x:row r="103">
      <x:c r="A103" t="n">
        <x:f>Ativos!A103</x:f>
        <x:v>0</x:v>
      </x:c>
      <x:c r="B103" s="2" t="n">
        <x:f>Ativos!N103</x:f>
        <x:v>0</x:v>
      </x:c>
      <x:c r="C103" t="n">
        <x:f>Ativos!O103</x:f>
        <x:v>0</x:v>
      </x:c>
      <x:c r="D103" t="n">
        <x:f>Ativos!P103</x:f>
        <x:v>0</x:v>
      </x:c>
      <x:c r="E103" t="n">
        <x:f>Ativos!C103</x:f>
        <x:v>0</x:v>
      </x:c>
      <x:c r="F103" t="n">
        <x:f>Ativos!E103</x:f>
        <x:v>0</x:v>
      </x:c>
      <x:c r="G103" t="n">
        <x:f>Ativos!G103</x:f>
        <x:v>0</x:v>
      </x:c>
      <x:c r="H103" t="n">
        <x:f>Ativos!I103</x:f>
        <x:v>0</x:v>
      </x:c>
      <x:c r="I103" t="n">
        <x:f>Ativos!S103</x:f>
        <x:v>0</x:v>
      </x:c>
      <x:c r="J103" t="str">
        <x:f>Ativos!U103</x:f>
        <x:v>Sem data</x:v>
      </x:c>
      <x:c r="K103" s="3" t="n">
        <x:f>Ativos!R103</x:f>
        <x:v>0</x:v>
      </x:c>
    </x:row>
    <x:row r="104">
      <x:c r="A104" t="n">
        <x:f>Ativos!A104</x:f>
        <x:v>0</x:v>
      </x:c>
      <x:c r="B104" s="2" t="n">
        <x:f>Ativos!N104</x:f>
        <x:v>0</x:v>
      </x:c>
      <x:c r="C104" t="n">
        <x:f>Ativos!O104</x:f>
        <x:v>0</x:v>
      </x:c>
      <x:c r="D104" t="n">
        <x:f>Ativos!P104</x:f>
        <x:v>0</x:v>
      </x:c>
      <x:c r="E104" t="n">
        <x:f>Ativos!C104</x:f>
        <x:v>0</x:v>
      </x:c>
      <x:c r="F104" t="n">
        <x:f>Ativos!E104</x:f>
        <x:v>0</x:v>
      </x:c>
      <x:c r="G104" t="n">
        <x:f>Ativos!G104</x:f>
        <x:v>0</x:v>
      </x:c>
      <x:c r="H104" t="n">
        <x:f>Ativos!I104</x:f>
        <x:v>0</x:v>
      </x:c>
      <x:c r="I104" t="n">
        <x:f>Ativos!S104</x:f>
        <x:v>0</x:v>
      </x:c>
      <x:c r="J104" t="str">
        <x:f>Ativos!U104</x:f>
        <x:v>Sem data</x:v>
      </x:c>
      <x:c r="K104" s="3" t="n">
        <x:f>Ativos!R104</x:f>
        <x:v>0</x:v>
      </x:c>
    </x:row>
    <x:row r="105">
      <x:c r="A105" t="n">
        <x:f>Ativos!A105</x:f>
        <x:v>0</x:v>
      </x:c>
      <x:c r="B105" s="2" t="n">
        <x:f>Ativos!N105</x:f>
        <x:v>0</x:v>
      </x:c>
      <x:c r="C105" t="n">
        <x:f>Ativos!O105</x:f>
        <x:v>0</x:v>
      </x:c>
      <x:c r="D105" t="n">
        <x:f>Ativos!P105</x:f>
        <x:v>0</x:v>
      </x:c>
      <x:c r="E105" t="n">
        <x:f>Ativos!C105</x:f>
        <x:v>0</x:v>
      </x:c>
      <x:c r="F105" t="n">
        <x:f>Ativos!E105</x:f>
        <x:v>0</x:v>
      </x:c>
      <x:c r="G105" t="n">
        <x:f>Ativos!G105</x:f>
        <x:v>0</x:v>
      </x:c>
      <x:c r="H105" t="n">
        <x:f>Ativos!I105</x:f>
        <x:v>0</x:v>
      </x:c>
      <x:c r="I105" t="n">
        <x:f>Ativos!S105</x:f>
        <x:v>0</x:v>
      </x:c>
      <x:c r="J105" t="str">
        <x:f>Ativos!U105</x:f>
        <x:v>Sem data</x:v>
      </x:c>
      <x:c r="K105" s="3" t="n">
        <x:f>Ativos!R105</x:f>
        <x:v>0</x:v>
      </x:c>
    </x:row>
    <x:row r="106">
      <x:c r="A106" t="n">
        <x:f>Ativos!A106</x:f>
        <x:v>0</x:v>
      </x:c>
      <x:c r="B106" s="2" t="n">
        <x:f>Ativos!N106</x:f>
        <x:v>0</x:v>
      </x:c>
      <x:c r="C106" t="n">
        <x:f>Ativos!O106</x:f>
        <x:v>0</x:v>
      </x:c>
      <x:c r="D106" t="n">
        <x:f>Ativos!P106</x:f>
        <x:v>0</x:v>
      </x:c>
      <x:c r="E106" t="n">
        <x:f>Ativos!C106</x:f>
        <x:v>0</x:v>
      </x:c>
      <x:c r="F106" t="n">
        <x:f>Ativos!E106</x:f>
        <x:v>0</x:v>
      </x:c>
      <x:c r="G106" t="n">
        <x:f>Ativos!G106</x:f>
        <x:v>0</x:v>
      </x:c>
      <x:c r="H106" t="n">
        <x:f>Ativos!I106</x:f>
        <x:v>0</x:v>
      </x:c>
      <x:c r="I106" t="n">
        <x:f>Ativos!S106</x:f>
        <x:v>0</x:v>
      </x:c>
      <x:c r="J106" t="str">
        <x:f>Ativos!U106</x:f>
        <x:v>Sem data</x:v>
      </x:c>
      <x:c r="K106" s="3" t="n">
        <x:f>Ativos!R106</x:f>
        <x:v>0</x:v>
      </x:c>
    </x:row>
    <x:row r="107">
      <x:c r="A107" t="n">
        <x:f>Ativos!A107</x:f>
        <x:v>0</x:v>
      </x:c>
      <x:c r="B107" s="2" t="n">
        <x:f>Ativos!N107</x:f>
        <x:v>0</x:v>
      </x:c>
      <x:c r="C107" t="n">
        <x:f>Ativos!O107</x:f>
        <x:v>0</x:v>
      </x:c>
      <x:c r="D107" t="n">
        <x:f>Ativos!P107</x:f>
        <x:v>0</x:v>
      </x:c>
      <x:c r="E107" t="n">
        <x:f>Ativos!C107</x:f>
        <x:v>0</x:v>
      </x:c>
      <x:c r="F107" t="n">
        <x:f>Ativos!E107</x:f>
        <x:v>0</x:v>
      </x:c>
      <x:c r="G107" t="n">
        <x:f>Ativos!G107</x:f>
        <x:v>0</x:v>
      </x:c>
      <x:c r="H107" t="n">
        <x:f>Ativos!I107</x:f>
        <x:v>0</x:v>
      </x:c>
      <x:c r="I107" t="n">
        <x:f>Ativos!S107</x:f>
        <x:v>0</x:v>
      </x:c>
      <x:c r="J107" t="str">
        <x:f>Ativos!U107</x:f>
        <x:v>Sem data</x:v>
      </x:c>
      <x:c r="K107" s="3" t="n">
        <x:f>Ativos!R107</x:f>
        <x:v>0</x:v>
      </x:c>
    </x:row>
    <x:row r="108">
      <x:c r="A108" t="n">
        <x:f>Ativos!A108</x:f>
        <x:v>0</x:v>
      </x:c>
      <x:c r="B108" s="2" t="n">
        <x:f>Ativos!N108</x:f>
        <x:v>0</x:v>
      </x:c>
      <x:c r="C108" t="n">
        <x:f>Ativos!O108</x:f>
        <x:v>0</x:v>
      </x:c>
      <x:c r="D108" t="n">
        <x:f>Ativos!P108</x:f>
        <x:v>0</x:v>
      </x:c>
      <x:c r="E108" t="n">
        <x:f>Ativos!C108</x:f>
        <x:v>0</x:v>
      </x:c>
      <x:c r="F108" t="n">
        <x:f>Ativos!E108</x:f>
        <x:v>0</x:v>
      </x:c>
      <x:c r="G108" t="n">
        <x:f>Ativos!G108</x:f>
        <x:v>0</x:v>
      </x:c>
      <x:c r="H108" t="n">
        <x:f>Ativos!I108</x:f>
        <x:v>0</x:v>
      </x:c>
      <x:c r="I108" t="n">
        <x:f>Ativos!S108</x:f>
        <x:v>0</x:v>
      </x:c>
      <x:c r="J108" t="str">
        <x:f>Ativos!U108</x:f>
        <x:v>Sem data</x:v>
      </x:c>
      <x:c r="K108" s="3" t="n">
        <x:f>Ativos!R108</x:f>
        <x:v>0</x:v>
      </x:c>
    </x:row>
    <x:row r="109">
      <x:c r="A109" t="n">
        <x:f>Ativos!A109</x:f>
        <x:v>0</x:v>
      </x:c>
      <x:c r="B109" s="2" t="n">
        <x:f>Ativos!N109</x:f>
        <x:v>0</x:v>
      </x:c>
      <x:c r="C109" t="n">
        <x:f>Ativos!O109</x:f>
        <x:v>0</x:v>
      </x:c>
      <x:c r="D109" t="n">
        <x:f>Ativos!P109</x:f>
        <x:v>0</x:v>
      </x:c>
      <x:c r="E109" t="n">
        <x:f>Ativos!C109</x:f>
        <x:v>0</x:v>
      </x:c>
      <x:c r="F109" t="n">
        <x:f>Ativos!E109</x:f>
        <x:v>0</x:v>
      </x:c>
      <x:c r="G109" t="n">
        <x:f>Ativos!G109</x:f>
        <x:v>0</x:v>
      </x:c>
      <x:c r="H109" t="n">
        <x:f>Ativos!I109</x:f>
        <x:v>0</x:v>
      </x:c>
      <x:c r="I109" t="n">
        <x:f>Ativos!S109</x:f>
        <x:v>0</x:v>
      </x:c>
      <x:c r="J109" t="str">
        <x:f>Ativos!U109</x:f>
        <x:v>Sem data</x:v>
      </x:c>
      <x:c r="K109" s="3" t="n">
        <x:f>Ativos!R109</x:f>
        <x:v>0</x:v>
      </x:c>
    </x:row>
    <x:row r="110">
      <x:c r="A110" t="n">
        <x:f>Ativos!A110</x:f>
        <x:v>0</x:v>
      </x:c>
      <x:c r="B110" s="2" t="n">
        <x:f>Ativos!N110</x:f>
        <x:v>0</x:v>
      </x:c>
      <x:c r="C110" t="n">
        <x:f>Ativos!O110</x:f>
        <x:v>0</x:v>
      </x:c>
      <x:c r="D110" t="n">
        <x:f>Ativos!P110</x:f>
        <x:v>0</x:v>
      </x:c>
      <x:c r="E110" t="n">
        <x:f>Ativos!C110</x:f>
        <x:v>0</x:v>
      </x:c>
      <x:c r="F110" t="n">
        <x:f>Ativos!E110</x:f>
        <x:v>0</x:v>
      </x:c>
      <x:c r="G110" t="n">
        <x:f>Ativos!G110</x:f>
        <x:v>0</x:v>
      </x:c>
      <x:c r="H110" t="n">
        <x:f>Ativos!I110</x:f>
        <x:v>0</x:v>
      </x:c>
      <x:c r="I110" t="n">
        <x:f>Ativos!S110</x:f>
        <x:v>0</x:v>
      </x:c>
      <x:c r="J110" t="str">
        <x:f>Ativos!U110</x:f>
        <x:v>Sem data</x:v>
      </x:c>
      <x:c r="K110" s="3" t="n">
        <x:f>Ativos!R110</x:f>
        <x:v>0</x:v>
      </x:c>
    </x:row>
    <x:row r="111">
      <x:c r="A111" t="n">
        <x:f>Ativos!A111</x:f>
        <x:v>0</x:v>
      </x:c>
      <x:c r="B111" s="2" t="n">
        <x:f>Ativos!N111</x:f>
        <x:v>0</x:v>
      </x:c>
      <x:c r="C111" t="n">
        <x:f>Ativos!O111</x:f>
        <x:v>0</x:v>
      </x:c>
      <x:c r="D111" t="n">
        <x:f>Ativos!P111</x:f>
        <x:v>0</x:v>
      </x:c>
      <x:c r="E111" t="n">
        <x:f>Ativos!C111</x:f>
        <x:v>0</x:v>
      </x:c>
      <x:c r="F111" t="n">
        <x:f>Ativos!E111</x:f>
        <x:v>0</x:v>
      </x:c>
      <x:c r="G111" t="n">
        <x:f>Ativos!G111</x:f>
        <x:v>0</x:v>
      </x:c>
      <x:c r="H111" t="n">
        <x:f>Ativos!I111</x:f>
        <x:v>0</x:v>
      </x:c>
      <x:c r="I111" t="n">
        <x:f>Ativos!S111</x:f>
        <x:v>0</x:v>
      </x:c>
      <x:c r="J111" t="str">
        <x:f>Ativos!U111</x:f>
        <x:v>Sem data</x:v>
      </x:c>
      <x:c r="K111" s="3" t="n">
        <x:f>Ativos!R111</x:f>
        <x:v>0</x:v>
      </x:c>
    </x:row>
    <x:row r="112">
      <x:c r="A112" t="n">
        <x:f>Ativos!A112</x:f>
        <x:v>0</x:v>
      </x:c>
      <x:c r="B112" s="2" t="n">
        <x:f>Ativos!N112</x:f>
        <x:v>0</x:v>
      </x:c>
      <x:c r="C112" t="n">
        <x:f>Ativos!O112</x:f>
        <x:v>0</x:v>
      </x:c>
      <x:c r="D112" t="n">
        <x:f>Ativos!P112</x:f>
        <x:v>0</x:v>
      </x:c>
      <x:c r="E112" t="n">
        <x:f>Ativos!C112</x:f>
        <x:v>0</x:v>
      </x:c>
      <x:c r="F112" t="n">
        <x:f>Ativos!E112</x:f>
        <x:v>0</x:v>
      </x:c>
      <x:c r="G112" t="n">
        <x:f>Ativos!G112</x:f>
        <x:v>0</x:v>
      </x:c>
      <x:c r="H112" t="n">
        <x:f>Ativos!I112</x:f>
        <x:v>0</x:v>
      </x:c>
      <x:c r="I112" t="n">
        <x:f>Ativos!S112</x:f>
        <x:v>0</x:v>
      </x:c>
      <x:c r="J112" t="str">
        <x:f>Ativos!U112</x:f>
        <x:v>Sem data</x:v>
      </x:c>
      <x:c r="K112" s="3" t="n">
        <x:f>Ativos!R112</x:f>
        <x:v>0</x:v>
      </x:c>
    </x:row>
    <x:row r="113">
      <x:c r="A113" t="n">
        <x:f>Ativos!A113</x:f>
        <x:v>0</x:v>
      </x:c>
      <x:c r="B113" s="2" t="n">
        <x:f>Ativos!N113</x:f>
        <x:v>0</x:v>
      </x:c>
      <x:c r="C113" t="n">
        <x:f>Ativos!O113</x:f>
        <x:v>0</x:v>
      </x:c>
      <x:c r="D113" t="n">
        <x:f>Ativos!P113</x:f>
        <x:v>0</x:v>
      </x:c>
      <x:c r="E113" t="n">
        <x:f>Ativos!C113</x:f>
        <x:v>0</x:v>
      </x:c>
      <x:c r="F113" t="n">
        <x:f>Ativos!E113</x:f>
        <x:v>0</x:v>
      </x:c>
      <x:c r="G113" t="n">
        <x:f>Ativos!G113</x:f>
        <x:v>0</x:v>
      </x:c>
      <x:c r="H113" t="n">
        <x:f>Ativos!I113</x:f>
        <x:v>0</x:v>
      </x:c>
      <x:c r="I113" t="n">
        <x:f>Ativos!S113</x:f>
        <x:v>0</x:v>
      </x:c>
      <x:c r="J113" t="str">
        <x:f>Ativos!U113</x:f>
        <x:v>Sem data</x:v>
      </x:c>
      <x:c r="K113" s="3" t="n">
        <x:f>Ativos!R113</x:f>
        <x:v>0</x:v>
      </x:c>
    </x:row>
    <x:row r="114">
      <x:c r="A114" t="n">
        <x:f>Ativos!A114</x:f>
        <x:v>0</x:v>
      </x:c>
      <x:c r="B114" s="2" t="n">
        <x:f>Ativos!N114</x:f>
        <x:v>0</x:v>
      </x:c>
      <x:c r="C114" t="n">
        <x:f>Ativos!O114</x:f>
        <x:v>0</x:v>
      </x:c>
      <x:c r="D114" t="n">
        <x:f>Ativos!P114</x:f>
        <x:v>0</x:v>
      </x:c>
      <x:c r="E114" t="n">
        <x:f>Ativos!C114</x:f>
        <x:v>0</x:v>
      </x:c>
      <x:c r="F114" t="n">
        <x:f>Ativos!E114</x:f>
        <x:v>0</x:v>
      </x:c>
      <x:c r="G114" t="n">
        <x:f>Ativos!G114</x:f>
        <x:v>0</x:v>
      </x:c>
      <x:c r="H114" t="n">
        <x:f>Ativos!I114</x:f>
        <x:v>0</x:v>
      </x:c>
      <x:c r="I114" t="n">
        <x:f>Ativos!S114</x:f>
        <x:v>0</x:v>
      </x:c>
      <x:c r="J114" t="str">
        <x:f>Ativos!U114</x:f>
        <x:v>Sem data</x:v>
      </x:c>
      <x:c r="K114" s="3" t="n">
        <x:f>Ativos!R114</x:f>
        <x:v>0</x:v>
      </x:c>
    </x:row>
    <x:row r="115">
      <x:c r="A115" t="n">
        <x:f>Ativos!A115</x:f>
        <x:v>0</x:v>
      </x:c>
      <x:c r="B115" s="2" t="n">
        <x:f>Ativos!N115</x:f>
        <x:v>0</x:v>
      </x:c>
      <x:c r="C115" t="n">
        <x:f>Ativos!O115</x:f>
        <x:v>0</x:v>
      </x:c>
      <x:c r="D115" t="n">
        <x:f>Ativos!P115</x:f>
        <x:v>0</x:v>
      </x:c>
      <x:c r="E115" t="n">
        <x:f>Ativos!C115</x:f>
        <x:v>0</x:v>
      </x:c>
      <x:c r="F115" t="n">
        <x:f>Ativos!E115</x:f>
        <x:v>0</x:v>
      </x:c>
      <x:c r="G115" t="n">
        <x:f>Ativos!G115</x:f>
        <x:v>0</x:v>
      </x:c>
      <x:c r="H115" t="n">
        <x:f>Ativos!I115</x:f>
        <x:v>0</x:v>
      </x:c>
      <x:c r="I115" t="n">
        <x:f>Ativos!S115</x:f>
        <x:v>0</x:v>
      </x:c>
      <x:c r="J115" t="str">
        <x:f>Ativos!U115</x:f>
        <x:v>Sem data</x:v>
      </x:c>
      <x:c r="K115" s="3" t="n">
        <x:f>Ativos!R115</x:f>
        <x:v>0</x:v>
      </x:c>
    </x:row>
    <x:row r="116">
      <x:c r="A116" t="n">
        <x:f>Ativos!A116</x:f>
        <x:v>0</x:v>
      </x:c>
      <x:c r="B116" s="2" t="n">
        <x:f>Ativos!N116</x:f>
        <x:v>0</x:v>
      </x:c>
      <x:c r="C116" t="n">
        <x:f>Ativos!O116</x:f>
        <x:v>0</x:v>
      </x:c>
      <x:c r="D116" t="n">
        <x:f>Ativos!P116</x:f>
        <x:v>0</x:v>
      </x:c>
      <x:c r="E116" t="n">
        <x:f>Ativos!C116</x:f>
        <x:v>0</x:v>
      </x:c>
      <x:c r="F116" t="n">
        <x:f>Ativos!E116</x:f>
        <x:v>0</x:v>
      </x:c>
      <x:c r="G116" t="n">
        <x:f>Ativos!G116</x:f>
        <x:v>0</x:v>
      </x:c>
      <x:c r="H116" t="n">
        <x:f>Ativos!I116</x:f>
        <x:v>0</x:v>
      </x:c>
      <x:c r="I116" t="n">
        <x:f>Ativos!S116</x:f>
        <x:v>0</x:v>
      </x:c>
      <x:c r="J116" t="str">
        <x:f>Ativos!U116</x:f>
        <x:v>Sem data</x:v>
      </x:c>
      <x:c r="K116" s="3" t="n">
        <x:f>Ativos!R116</x:f>
        <x:v>0</x:v>
      </x:c>
    </x:row>
    <x:row r="117">
      <x:c r="A117" t="n">
        <x:f>Ativos!A117</x:f>
        <x:v>0</x:v>
      </x:c>
      <x:c r="B117" s="2" t="n">
        <x:f>Ativos!N117</x:f>
        <x:v>0</x:v>
      </x:c>
      <x:c r="C117" t="n">
        <x:f>Ativos!O117</x:f>
        <x:v>0</x:v>
      </x:c>
      <x:c r="D117" t="n">
        <x:f>Ativos!P117</x:f>
        <x:v>0</x:v>
      </x:c>
      <x:c r="E117" t="n">
        <x:f>Ativos!C117</x:f>
        <x:v>0</x:v>
      </x:c>
      <x:c r="F117" t="n">
        <x:f>Ativos!E117</x:f>
        <x:v>0</x:v>
      </x:c>
      <x:c r="G117" t="n">
        <x:f>Ativos!G117</x:f>
        <x:v>0</x:v>
      </x:c>
      <x:c r="H117" t="n">
        <x:f>Ativos!I117</x:f>
        <x:v>0</x:v>
      </x:c>
      <x:c r="I117" t="n">
        <x:f>Ativos!S117</x:f>
        <x:v>0</x:v>
      </x:c>
      <x:c r="J117" t="str">
        <x:f>Ativos!U117</x:f>
        <x:v>Sem data</x:v>
      </x:c>
      <x:c r="K117" s="3" t="n">
        <x:f>Ativos!R117</x:f>
        <x:v>0</x:v>
      </x:c>
    </x:row>
    <x:row r="118">
      <x:c r="A118" t="n">
        <x:f>Ativos!A118</x:f>
        <x:v>0</x:v>
      </x:c>
      <x:c r="B118" s="2" t="n">
        <x:f>Ativos!N118</x:f>
        <x:v>0</x:v>
      </x:c>
      <x:c r="C118" t="n">
        <x:f>Ativos!O118</x:f>
        <x:v>0</x:v>
      </x:c>
      <x:c r="D118" t="n">
        <x:f>Ativos!P118</x:f>
        <x:v>0</x:v>
      </x:c>
      <x:c r="E118" t="n">
        <x:f>Ativos!C118</x:f>
        <x:v>0</x:v>
      </x:c>
      <x:c r="F118" t="n">
        <x:f>Ativos!E118</x:f>
        <x:v>0</x:v>
      </x:c>
      <x:c r="G118" t="n">
        <x:f>Ativos!G118</x:f>
        <x:v>0</x:v>
      </x:c>
      <x:c r="H118" t="n">
        <x:f>Ativos!I118</x:f>
        <x:v>0</x:v>
      </x:c>
      <x:c r="I118" t="n">
        <x:f>Ativos!S118</x:f>
        <x:v>0</x:v>
      </x:c>
      <x:c r="J118" t="str">
        <x:f>Ativos!U118</x:f>
        <x:v>Sem data</x:v>
      </x:c>
      <x:c r="K118" s="3" t="n">
        <x:f>Ativos!R118</x:f>
        <x:v>0</x:v>
      </x:c>
    </x:row>
    <x:row r="119">
      <x:c r="A119" t="n">
        <x:f>Ativos!A119</x:f>
        <x:v>0</x:v>
      </x:c>
      <x:c r="B119" s="2" t="n">
        <x:f>Ativos!N119</x:f>
        <x:v>0</x:v>
      </x:c>
      <x:c r="C119" t="n">
        <x:f>Ativos!O119</x:f>
        <x:v>0</x:v>
      </x:c>
      <x:c r="D119" t="n">
        <x:f>Ativos!P119</x:f>
        <x:v>0</x:v>
      </x:c>
      <x:c r="E119" t="n">
        <x:f>Ativos!C119</x:f>
        <x:v>0</x:v>
      </x:c>
      <x:c r="F119" t="n">
        <x:f>Ativos!E119</x:f>
        <x:v>0</x:v>
      </x:c>
      <x:c r="G119" t="n">
        <x:f>Ativos!G119</x:f>
        <x:v>0</x:v>
      </x:c>
      <x:c r="H119" t="n">
        <x:f>Ativos!I119</x:f>
        <x:v>0</x:v>
      </x:c>
      <x:c r="I119" t="n">
        <x:f>Ativos!S119</x:f>
        <x:v>0</x:v>
      </x:c>
      <x:c r="J119" t="str">
        <x:f>Ativos!U119</x:f>
        <x:v>Sem data</x:v>
      </x:c>
      <x:c r="K119" s="3" t="n">
        <x:f>Ativos!R119</x:f>
        <x:v>0</x:v>
      </x:c>
    </x:row>
    <x:row r="120">
      <x:c r="A120" t="n">
        <x:f>Ativos!A120</x:f>
        <x:v>0</x:v>
      </x:c>
      <x:c r="B120" s="2" t="n">
        <x:f>Ativos!N120</x:f>
        <x:v>0</x:v>
      </x:c>
      <x:c r="C120" t="n">
        <x:f>Ativos!O120</x:f>
        <x:v>0</x:v>
      </x:c>
      <x:c r="D120" t="n">
        <x:f>Ativos!P120</x:f>
        <x:v>0</x:v>
      </x:c>
      <x:c r="E120" t="n">
        <x:f>Ativos!C120</x:f>
        <x:v>0</x:v>
      </x:c>
      <x:c r="F120" t="n">
        <x:f>Ativos!E120</x:f>
        <x:v>0</x:v>
      </x:c>
      <x:c r="G120" t="n">
        <x:f>Ativos!G120</x:f>
        <x:v>0</x:v>
      </x:c>
      <x:c r="H120" t="n">
        <x:f>Ativos!I120</x:f>
        <x:v>0</x:v>
      </x:c>
      <x:c r="I120" t="n">
        <x:f>Ativos!S120</x:f>
        <x:v>0</x:v>
      </x:c>
      <x:c r="J120" t="str">
        <x:f>Ativos!U120</x:f>
        <x:v>Sem data</x:v>
      </x:c>
      <x:c r="K120" s="3" t="n">
        <x:f>Ativos!R120</x:f>
        <x:v>0</x:v>
      </x:c>
    </x:row>
    <x:row r="121">
      <x:c r="A121" t="n">
        <x:f>Ativos!A121</x:f>
        <x:v>0</x:v>
      </x:c>
      <x:c r="B121" s="2" t="n">
        <x:f>Ativos!N121</x:f>
        <x:v>0</x:v>
      </x:c>
      <x:c r="C121" t="n">
        <x:f>Ativos!O121</x:f>
        <x:v>0</x:v>
      </x:c>
      <x:c r="D121" t="n">
        <x:f>Ativos!P121</x:f>
        <x:v>0</x:v>
      </x:c>
      <x:c r="E121" t="n">
        <x:f>Ativos!C121</x:f>
        <x:v>0</x:v>
      </x:c>
      <x:c r="F121" t="n">
        <x:f>Ativos!E121</x:f>
        <x:v>0</x:v>
      </x:c>
      <x:c r="G121" t="n">
        <x:f>Ativos!G121</x:f>
        <x:v>0</x:v>
      </x:c>
      <x:c r="H121" t="n">
        <x:f>Ativos!I121</x:f>
        <x:v>0</x:v>
      </x:c>
      <x:c r="I121" t="n">
        <x:f>Ativos!S121</x:f>
        <x:v>0</x:v>
      </x:c>
      <x:c r="J121" t="str">
        <x:f>Ativos!U121</x:f>
        <x:v>Sem data</x:v>
      </x:c>
      <x:c r="K121" s="3" t="n">
        <x:f>Ativos!R121</x:f>
        <x:v>0</x:v>
      </x:c>
    </x:row>
    <x:row r="122">
      <x:c r="A122" t="n">
        <x:f>Ativos!A122</x:f>
        <x:v>0</x:v>
      </x:c>
      <x:c r="B122" s="2" t="n">
        <x:f>Ativos!N122</x:f>
        <x:v>0</x:v>
      </x:c>
      <x:c r="C122" t="n">
        <x:f>Ativos!O122</x:f>
        <x:v>0</x:v>
      </x:c>
      <x:c r="D122" t="n">
        <x:f>Ativos!P122</x:f>
        <x:v>0</x:v>
      </x:c>
      <x:c r="E122" t="n">
        <x:f>Ativos!C122</x:f>
        <x:v>0</x:v>
      </x:c>
      <x:c r="F122" t="n">
        <x:f>Ativos!E122</x:f>
        <x:v>0</x:v>
      </x:c>
      <x:c r="G122" t="n">
        <x:f>Ativos!G122</x:f>
        <x:v>0</x:v>
      </x:c>
      <x:c r="H122" t="n">
        <x:f>Ativos!I122</x:f>
        <x:v>0</x:v>
      </x:c>
      <x:c r="I122" t="n">
        <x:f>Ativos!S122</x:f>
        <x:v>0</x:v>
      </x:c>
      <x:c r="J122" t="str">
        <x:f>Ativos!U122</x:f>
        <x:v>Sem data</x:v>
      </x:c>
      <x:c r="K122" s="3" t="n">
        <x:f>Ativos!R122</x:f>
        <x:v>0</x:v>
      </x:c>
    </x:row>
    <x:row r="123">
      <x:c r="A123" t="n">
        <x:f>Ativos!A123</x:f>
        <x:v>0</x:v>
      </x:c>
      <x:c r="B123" s="2" t="n">
        <x:f>Ativos!N123</x:f>
        <x:v>0</x:v>
      </x:c>
      <x:c r="C123" t="n">
        <x:f>Ativos!O123</x:f>
        <x:v>0</x:v>
      </x:c>
      <x:c r="D123" t="n">
        <x:f>Ativos!P123</x:f>
        <x:v>0</x:v>
      </x:c>
      <x:c r="E123" t="n">
        <x:f>Ativos!C123</x:f>
        <x:v>0</x:v>
      </x:c>
      <x:c r="F123" t="n">
        <x:f>Ativos!E123</x:f>
        <x:v>0</x:v>
      </x:c>
      <x:c r="G123" t="n">
        <x:f>Ativos!G123</x:f>
        <x:v>0</x:v>
      </x:c>
      <x:c r="H123" t="n">
        <x:f>Ativos!I123</x:f>
        <x:v>0</x:v>
      </x:c>
      <x:c r="I123" t="n">
        <x:f>Ativos!S123</x:f>
        <x:v>0</x:v>
      </x:c>
      <x:c r="J123" t="str">
        <x:f>Ativos!U123</x:f>
        <x:v>Sem data</x:v>
      </x:c>
      <x:c r="K123" s="3" t="n">
        <x:f>Ativos!R123</x:f>
        <x:v>0</x:v>
      </x:c>
    </x:row>
    <x:row r="124">
      <x:c r="A124" t="n">
        <x:f>Ativos!A124</x:f>
        <x:v>0</x:v>
      </x:c>
      <x:c r="B124" s="2" t="n">
        <x:f>Ativos!N124</x:f>
        <x:v>0</x:v>
      </x:c>
      <x:c r="C124" t="n">
        <x:f>Ativos!O124</x:f>
        <x:v>0</x:v>
      </x:c>
      <x:c r="D124" t="n">
        <x:f>Ativos!P124</x:f>
        <x:v>0</x:v>
      </x:c>
      <x:c r="E124" t="n">
        <x:f>Ativos!C124</x:f>
        <x:v>0</x:v>
      </x:c>
      <x:c r="F124" t="n">
        <x:f>Ativos!E124</x:f>
        <x:v>0</x:v>
      </x:c>
      <x:c r="G124" t="n">
        <x:f>Ativos!G124</x:f>
        <x:v>0</x:v>
      </x:c>
      <x:c r="H124" t="n">
        <x:f>Ativos!I124</x:f>
        <x:v>0</x:v>
      </x:c>
      <x:c r="I124" t="n">
        <x:f>Ativos!S124</x:f>
        <x:v>0</x:v>
      </x:c>
      <x:c r="J124" t="str">
        <x:f>Ativos!U124</x:f>
        <x:v>Sem data</x:v>
      </x:c>
      <x:c r="K124" s="3" t="n">
        <x:f>Ativos!R124</x:f>
        <x:v>0</x:v>
      </x:c>
    </x:row>
    <x:row r="125">
      <x:c r="A125" t="n">
        <x:f>Ativos!A125</x:f>
        <x:v>0</x:v>
      </x:c>
      <x:c r="B125" s="2" t="n">
        <x:f>Ativos!N125</x:f>
        <x:v>0</x:v>
      </x:c>
      <x:c r="C125" t="n">
        <x:f>Ativos!O125</x:f>
        <x:v>0</x:v>
      </x:c>
      <x:c r="D125" t="n">
        <x:f>Ativos!P125</x:f>
        <x:v>0</x:v>
      </x:c>
      <x:c r="E125" t="n">
        <x:f>Ativos!C125</x:f>
        <x:v>0</x:v>
      </x:c>
      <x:c r="F125" t="n">
        <x:f>Ativos!E125</x:f>
        <x:v>0</x:v>
      </x:c>
      <x:c r="G125" t="n">
        <x:f>Ativos!G125</x:f>
        <x:v>0</x:v>
      </x:c>
      <x:c r="H125" t="n">
        <x:f>Ativos!I125</x:f>
        <x:v>0</x:v>
      </x:c>
      <x:c r="I125" t="n">
        <x:f>Ativos!S125</x:f>
        <x:v>0</x:v>
      </x:c>
      <x:c r="J125" t="str">
        <x:f>Ativos!U125</x:f>
        <x:v>Sem data</x:v>
      </x:c>
      <x:c r="K125" s="3" t="n">
        <x:f>Ativos!R125</x:f>
        <x:v>0</x:v>
      </x:c>
    </x:row>
    <x:row r="126">
      <x:c r="A126" t="n">
        <x:f>Ativos!A126</x:f>
        <x:v>0</x:v>
      </x:c>
      <x:c r="B126" s="2" t="n">
        <x:f>Ativos!N126</x:f>
        <x:v>0</x:v>
      </x:c>
      <x:c r="C126" t="n">
        <x:f>Ativos!O126</x:f>
        <x:v>0</x:v>
      </x:c>
      <x:c r="D126" t="n">
        <x:f>Ativos!P126</x:f>
        <x:v>0</x:v>
      </x:c>
      <x:c r="E126" t="n">
        <x:f>Ativos!C126</x:f>
        <x:v>0</x:v>
      </x:c>
      <x:c r="F126" t="n">
        <x:f>Ativos!E126</x:f>
        <x:v>0</x:v>
      </x:c>
      <x:c r="G126" t="n">
        <x:f>Ativos!G126</x:f>
        <x:v>0</x:v>
      </x:c>
      <x:c r="H126" t="n">
        <x:f>Ativos!I126</x:f>
        <x:v>0</x:v>
      </x:c>
      <x:c r="I126" t="n">
        <x:f>Ativos!S126</x:f>
        <x:v>0</x:v>
      </x:c>
      <x:c r="J126" t="str">
        <x:f>Ativos!U126</x:f>
        <x:v>Sem data</x:v>
      </x:c>
      <x:c r="K126" s="3" t="n">
        <x:f>Ativos!R126</x:f>
        <x:v>0</x:v>
      </x:c>
    </x:row>
    <x:row r="127">
      <x:c r="A127" t="n">
        <x:f>Ativos!A127</x:f>
        <x:v>0</x:v>
      </x:c>
      <x:c r="B127" s="2" t="n">
        <x:f>Ativos!N127</x:f>
        <x:v>0</x:v>
      </x:c>
      <x:c r="C127" t="n">
        <x:f>Ativos!O127</x:f>
        <x:v>0</x:v>
      </x:c>
      <x:c r="D127" t="n">
        <x:f>Ativos!P127</x:f>
        <x:v>0</x:v>
      </x:c>
      <x:c r="E127" t="n">
        <x:f>Ativos!C127</x:f>
        <x:v>0</x:v>
      </x:c>
      <x:c r="F127" t="n">
        <x:f>Ativos!E127</x:f>
        <x:v>0</x:v>
      </x:c>
      <x:c r="G127" t="n">
        <x:f>Ativos!G127</x:f>
        <x:v>0</x:v>
      </x:c>
      <x:c r="H127" t="n">
        <x:f>Ativos!I127</x:f>
        <x:v>0</x:v>
      </x:c>
      <x:c r="I127" t="n">
        <x:f>Ativos!S127</x:f>
        <x:v>0</x:v>
      </x:c>
      <x:c r="J127" t="str">
        <x:f>Ativos!U127</x:f>
        <x:v>Sem data</x:v>
      </x:c>
      <x:c r="K127" s="3" t="n">
        <x:f>Ativos!R127</x:f>
        <x:v>0</x:v>
      </x:c>
    </x:row>
    <x:row r="128">
      <x:c r="A128" t="n">
        <x:f>Ativos!A128</x:f>
        <x:v>0</x:v>
      </x:c>
      <x:c r="B128" s="2" t="n">
        <x:f>Ativos!N128</x:f>
        <x:v>0</x:v>
      </x:c>
      <x:c r="C128" t="n">
        <x:f>Ativos!O128</x:f>
        <x:v>0</x:v>
      </x:c>
      <x:c r="D128" t="n">
        <x:f>Ativos!P128</x:f>
        <x:v>0</x:v>
      </x:c>
      <x:c r="E128" t="n">
        <x:f>Ativos!C128</x:f>
        <x:v>0</x:v>
      </x:c>
      <x:c r="F128" t="n">
        <x:f>Ativos!E128</x:f>
        <x:v>0</x:v>
      </x:c>
      <x:c r="G128" t="n">
        <x:f>Ativos!G128</x:f>
        <x:v>0</x:v>
      </x:c>
      <x:c r="H128" t="n">
        <x:f>Ativos!I128</x:f>
        <x:v>0</x:v>
      </x:c>
      <x:c r="I128" t="n">
        <x:f>Ativos!S128</x:f>
        <x:v>0</x:v>
      </x:c>
      <x:c r="J128" t="str">
        <x:f>Ativos!U128</x:f>
        <x:v>Sem data</x:v>
      </x:c>
      <x:c r="K128" s="3" t="n">
        <x:f>Ativos!R128</x:f>
        <x:v>0</x:v>
      </x:c>
    </x:row>
    <x:row r="129">
      <x:c r="A129" t="n">
        <x:f>Ativos!A129</x:f>
        <x:v>0</x:v>
      </x:c>
      <x:c r="B129" s="2" t="n">
        <x:f>Ativos!N129</x:f>
        <x:v>0</x:v>
      </x:c>
      <x:c r="C129" t="n">
        <x:f>Ativos!O129</x:f>
        <x:v>0</x:v>
      </x:c>
      <x:c r="D129" t="n">
        <x:f>Ativos!P129</x:f>
        <x:v>0</x:v>
      </x:c>
      <x:c r="E129" t="n">
        <x:f>Ativos!C129</x:f>
        <x:v>0</x:v>
      </x:c>
      <x:c r="F129" t="n">
        <x:f>Ativos!E129</x:f>
        <x:v>0</x:v>
      </x:c>
      <x:c r="G129" t="n">
        <x:f>Ativos!G129</x:f>
        <x:v>0</x:v>
      </x:c>
      <x:c r="H129" t="n">
        <x:f>Ativos!I129</x:f>
        <x:v>0</x:v>
      </x:c>
      <x:c r="I129" t="n">
        <x:f>Ativos!S129</x:f>
        <x:v>0</x:v>
      </x:c>
      <x:c r="J129" t="str">
        <x:f>Ativos!U129</x:f>
        <x:v>Sem data</x:v>
      </x:c>
      <x:c r="K129" s="3" t="n">
        <x:f>Ativos!R129</x:f>
        <x:v>0</x:v>
      </x:c>
    </x:row>
    <x:row r="130">
      <x:c r="A130" t="n">
        <x:f>Ativos!A130</x:f>
        <x:v>0</x:v>
      </x:c>
      <x:c r="B130" s="2" t="n">
        <x:f>Ativos!N130</x:f>
        <x:v>0</x:v>
      </x:c>
      <x:c r="C130" t="n">
        <x:f>Ativos!O130</x:f>
        <x:v>0</x:v>
      </x:c>
      <x:c r="D130" t="n">
        <x:f>Ativos!P130</x:f>
        <x:v>0</x:v>
      </x:c>
      <x:c r="E130" t="n">
        <x:f>Ativos!C130</x:f>
        <x:v>0</x:v>
      </x:c>
      <x:c r="F130" t="n">
        <x:f>Ativos!E130</x:f>
        <x:v>0</x:v>
      </x:c>
      <x:c r="G130" t="n">
        <x:f>Ativos!G130</x:f>
        <x:v>0</x:v>
      </x:c>
      <x:c r="H130" t="n">
        <x:f>Ativos!I130</x:f>
        <x:v>0</x:v>
      </x:c>
      <x:c r="I130" t="n">
        <x:f>Ativos!S130</x:f>
        <x:v>0</x:v>
      </x:c>
      <x:c r="J130" t="str">
        <x:f>Ativos!U130</x:f>
        <x:v>Sem data</x:v>
      </x:c>
      <x:c r="K130" s="3" t="n">
        <x:f>Ativos!R130</x:f>
        <x:v>0</x:v>
      </x:c>
    </x:row>
    <x:row r="131">
      <x:c r="A131" t="n">
        <x:f>Ativos!A131</x:f>
        <x:v>0</x:v>
      </x:c>
      <x:c r="B131" s="2" t="n">
        <x:f>Ativos!N131</x:f>
        <x:v>0</x:v>
      </x:c>
      <x:c r="C131" t="n">
        <x:f>Ativos!O131</x:f>
        <x:v>0</x:v>
      </x:c>
      <x:c r="D131" t="n">
        <x:f>Ativos!P131</x:f>
        <x:v>0</x:v>
      </x:c>
      <x:c r="E131" t="n">
        <x:f>Ativos!C131</x:f>
        <x:v>0</x:v>
      </x:c>
      <x:c r="F131" t="n">
        <x:f>Ativos!E131</x:f>
        <x:v>0</x:v>
      </x:c>
      <x:c r="G131" t="n">
        <x:f>Ativos!G131</x:f>
        <x:v>0</x:v>
      </x:c>
      <x:c r="H131" t="n">
        <x:f>Ativos!I131</x:f>
        <x:v>0</x:v>
      </x:c>
      <x:c r="I131" t="n">
        <x:f>Ativos!S131</x:f>
        <x:v>0</x:v>
      </x:c>
      <x:c r="J131" t="str">
        <x:f>Ativos!U131</x:f>
        <x:v>Sem data</x:v>
      </x:c>
      <x:c r="K131" s="3" t="n">
        <x:f>Ativos!R131</x:f>
        <x:v>0</x:v>
      </x:c>
    </x:row>
    <x:row r="132">
      <x:c r="A132" t="n">
        <x:f>Ativos!A132</x:f>
        <x:v>0</x:v>
      </x:c>
      <x:c r="B132" s="2" t="n">
        <x:f>Ativos!N132</x:f>
        <x:v>0</x:v>
      </x:c>
      <x:c r="C132" t="n">
        <x:f>Ativos!O132</x:f>
        <x:v>0</x:v>
      </x:c>
      <x:c r="D132" t="n">
        <x:f>Ativos!P132</x:f>
        <x:v>0</x:v>
      </x:c>
      <x:c r="E132" t="n">
        <x:f>Ativos!C132</x:f>
        <x:v>0</x:v>
      </x:c>
      <x:c r="F132" t="n">
        <x:f>Ativos!E132</x:f>
        <x:v>0</x:v>
      </x:c>
      <x:c r="G132" t="n">
        <x:f>Ativos!G132</x:f>
        <x:v>0</x:v>
      </x:c>
      <x:c r="H132" t="n">
        <x:f>Ativos!I132</x:f>
        <x:v>0</x:v>
      </x:c>
      <x:c r="I132" t="n">
        <x:f>Ativos!S132</x:f>
        <x:v>0</x:v>
      </x:c>
      <x:c r="J132" t="str">
        <x:f>Ativos!U132</x:f>
        <x:v>Sem data</x:v>
      </x:c>
      <x:c r="K132" s="3" t="n">
        <x:f>Ativos!R132</x:f>
        <x:v>0</x:v>
      </x:c>
    </x:row>
    <x:row r="133">
      <x:c r="A133" t="n">
        <x:f>Ativos!A133</x:f>
        <x:v>0</x:v>
      </x:c>
      <x:c r="B133" s="2" t="n">
        <x:f>Ativos!N133</x:f>
        <x:v>0</x:v>
      </x:c>
      <x:c r="C133" t="n">
        <x:f>Ativos!O133</x:f>
        <x:v>0</x:v>
      </x:c>
      <x:c r="D133" t="n">
        <x:f>Ativos!P133</x:f>
        <x:v>0</x:v>
      </x:c>
      <x:c r="E133" t="n">
        <x:f>Ativos!C133</x:f>
        <x:v>0</x:v>
      </x:c>
      <x:c r="F133" t="n">
        <x:f>Ativos!E133</x:f>
        <x:v>0</x:v>
      </x:c>
      <x:c r="G133" t="n">
        <x:f>Ativos!G133</x:f>
        <x:v>0</x:v>
      </x:c>
      <x:c r="H133" t="n">
        <x:f>Ativos!I133</x:f>
        <x:v>0</x:v>
      </x:c>
      <x:c r="I133" t="n">
        <x:f>Ativos!S133</x:f>
        <x:v>0</x:v>
      </x:c>
      <x:c r="J133" t="str">
        <x:f>Ativos!U133</x:f>
        <x:v>Sem data</x:v>
      </x:c>
      <x:c r="K133" s="3" t="n">
        <x:f>Ativos!R133</x:f>
        <x:v>0</x:v>
      </x:c>
    </x:row>
    <x:row r="134">
      <x:c r="A134" t="n">
        <x:f>Ativos!A134</x:f>
        <x:v>0</x:v>
      </x:c>
      <x:c r="B134" s="2" t="n">
        <x:f>Ativos!N134</x:f>
        <x:v>0</x:v>
      </x:c>
      <x:c r="C134" t="n">
        <x:f>Ativos!O134</x:f>
        <x:v>0</x:v>
      </x:c>
      <x:c r="D134" t="n">
        <x:f>Ativos!P134</x:f>
        <x:v>0</x:v>
      </x:c>
      <x:c r="E134" t="n">
        <x:f>Ativos!C134</x:f>
        <x:v>0</x:v>
      </x:c>
      <x:c r="F134" t="n">
        <x:f>Ativos!E134</x:f>
        <x:v>0</x:v>
      </x:c>
      <x:c r="G134" t="n">
        <x:f>Ativos!G134</x:f>
        <x:v>0</x:v>
      </x:c>
      <x:c r="H134" t="n">
        <x:f>Ativos!I134</x:f>
        <x:v>0</x:v>
      </x:c>
      <x:c r="I134" t="n">
        <x:f>Ativos!S134</x:f>
        <x:v>0</x:v>
      </x:c>
      <x:c r="J134" t="str">
        <x:f>Ativos!U134</x:f>
        <x:v>Sem data</x:v>
      </x:c>
      <x:c r="K134" s="3" t="n">
        <x:f>Ativos!R134</x:f>
        <x:v>0</x:v>
      </x:c>
    </x:row>
    <x:row r="135">
      <x:c r="A135" t="n">
        <x:f>Ativos!A135</x:f>
        <x:v>0</x:v>
      </x:c>
      <x:c r="B135" s="2" t="n">
        <x:f>Ativos!N135</x:f>
        <x:v>0</x:v>
      </x:c>
      <x:c r="C135" t="n">
        <x:f>Ativos!O135</x:f>
        <x:v>0</x:v>
      </x:c>
      <x:c r="D135" t="n">
        <x:f>Ativos!P135</x:f>
        <x:v>0</x:v>
      </x:c>
      <x:c r="E135" t="n">
        <x:f>Ativos!C135</x:f>
        <x:v>0</x:v>
      </x:c>
      <x:c r="F135" t="n">
        <x:f>Ativos!E135</x:f>
        <x:v>0</x:v>
      </x:c>
      <x:c r="G135" t="n">
        <x:f>Ativos!G135</x:f>
        <x:v>0</x:v>
      </x:c>
      <x:c r="H135" t="n">
        <x:f>Ativos!I135</x:f>
        <x:v>0</x:v>
      </x:c>
      <x:c r="I135" t="n">
        <x:f>Ativos!S135</x:f>
        <x:v>0</x:v>
      </x:c>
      <x:c r="J135" t="str">
        <x:f>Ativos!U135</x:f>
        <x:v>Sem data</x:v>
      </x:c>
      <x:c r="K135" s="3" t="n">
        <x:f>Ativos!R135</x:f>
        <x:v>0</x:v>
      </x:c>
    </x:row>
    <x:row r="136">
      <x:c r="A136" t="n">
        <x:f>Ativos!A136</x:f>
        <x:v>0</x:v>
      </x:c>
      <x:c r="B136" s="2" t="n">
        <x:f>Ativos!N136</x:f>
        <x:v>0</x:v>
      </x:c>
      <x:c r="C136" t="n">
        <x:f>Ativos!O136</x:f>
        <x:v>0</x:v>
      </x:c>
      <x:c r="D136" t="n">
        <x:f>Ativos!P136</x:f>
        <x:v>0</x:v>
      </x:c>
      <x:c r="E136" t="n">
        <x:f>Ativos!C136</x:f>
        <x:v>0</x:v>
      </x:c>
      <x:c r="F136" t="n">
        <x:f>Ativos!E136</x:f>
        <x:v>0</x:v>
      </x:c>
      <x:c r="G136" t="n">
        <x:f>Ativos!G136</x:f>
        <x:v>0</x:v>
      </x:c>
      <x:c r="H136" t="n">
        <x:f>Ativos!I136</x:f>
        <x:v>0</x:v>
      </x:c>
      <x:c r="I136" t="n">
        <x:f>Ativos!S136</x:f>
        <x:v>0</x:v>
      </x:c>
      <x:c r="J136" t="str">
        <x:f>Ativos!U136</x:f>
        <x:v>Sem data</x:v>
      </x:c>
      <x:c r="K136" s="3" t="n">
        <x:f>Ativos!R136</x:f>
        <x:v>0</x:v>
      </x:c>
    </x:row>
    <x:row r="137">
      <x:c r="A137" t="n">
        <x:f>Ativos!A137</x:f>
        <x:v>0</x:v>
      </x:c>
      <x:c r="B137" s="2" t="n">
        <x:f>Ativos!N137</x:f>
        <x:v>0</x:v>
      </x:c>
      <x:c r="C137" t="n">
        <x:f>Ativos!O137</x:f>
        <x:v>0</x:v>
      </x:c>
      <x:c r="D137" t="n">
        <x:f>Ativos!P137</x:f>
        <x:v>0</x:v>
      </x:c>
      <x:c r="E137" t="n">
        <x:f>Ativos!C137</x:f>
        <x:v>0</x:v>
      </x:c>
      <x:c r="F137" t="n">
        <x:f>Ativos!E137</x:f>
        <x:v>0</x:v>
      </x:c>
      <x:c r="G137" t="n">
        <x:f>Ativos!G137</x:f>
        <x:v>0</x:v>
      </x:c>
      <x:c r="H137" t="n">
        <x:f>Ativos!I137</x:f>
        <x:v>0</x:v>
      </x:c>
      <x:c r="I137" t="n">
        <x:f>Ativos!S137</x:f>
        <x:v>0</x:v>
      </x:c>
      <x:c r="J137" t="str">
        <x:f>Ativos!U137</x:f>
        <x:v>Sem data</x:v>
      </x:c>
      <x:c r="K137" s="3" t="n">
        <x:f>Ativos!R137</x:f>
        <x:v>0</x:v>
      </x:c>
    </x:row>
    <x:row r="138">
      <x:c r="A138" t="n">
        <x:f>Ativos!A138</x:f>
        <x:v>0</x:v>
      </x:c>
      <x:c r="B138" s="2" t="n">
        <x:f>Ativos!N138</x:f>
        <x:v>0</x:v>
      </x:c>
      <x:c r="C138" t="n">
        <x:f>Ativos!O138</x:f>
        <x:v>0</x:v>
      </x:c>
      <x:c r="D138" t="n">
        <x:f>Ativos!P138</x:f>
        <x:v>0</x:v>
      </x:c>
      <x:c r="E138" t="n">
        <x:f>Ativos!C138</x:f>
        <x:v>0</x:v>
      </x:c>
      <x:c r="F138" t="n">
        <x:f>Ativos!E138</x:f>
        <x:v>0</x:v>
      </x:c>
      <x:c r="G138" t="n">
        <x:f>Ativos!G138</x:f>
        <x:v>0</x:v>
      </x:c>
      <x:c r="H138" t="n">
        <x:f>Ativos!I138</x:f>
        <x:v>0</x:v>
      </x:c>
      <x:c r="I138" t="n">
        <x:f>Ativos!S138</x:f>
        <x:v>0</x:v>
      </x:c>
      <x:c r="J138" t="str">
        <x:f>Ativos!U138</x:f>
        <x:v>Sem data</x:v>
      </x:c>
      <x:c r="K138" s="3" t="n">
        <x:f>Ativos!R138</x:f>
        <x:v>0</x:v>
      </x:c>
    </x:row>
    <x:row r="139">
      <x:c r="A139" t="n">
        <x:f>Ativos!A139</x:f>
        <x:v>0</x:v>
      </x:c>
      <x:c r="B139" s="2" t="n">
        <x:f>Ativos!N139</x:f>
        <x:v>0</x:v>
      </x:c>
      <x:c r="C139" t="n">
        <x:f>Ativos!O139</x:f>
        <x:v>0</x:v>
      </x:c>
      <x:c r="D139" t="n">
        <x:f>Ativos!P139</x:f>
        <x:v>0</x:v>
      </x:c>
      <x:c r="E139" t="n">
        <x:f>Ativos!C139</x:f>
        <x:v>0</x:v>
      </x:c>
      <x:c r="F139" t="n">
        <x:f>Ativos!E139</x:f>
        <x:v>0</x:v>
      </x:c>
      <x:c r="G139" t="n">
        <x:f>Ativos!G139</x:f>
        <x:v>0</x:v>
      </x:c>
      <x:c r="H139" t="n">
        <x:f>Ativos!I139</x:f>
        <x:v>0</x:v>
      </x:c>
      <x:c r="I139" t="n">
        <x:f>Ativos!S139</x:f>
        <x:v>0</x:v>
      </x:c>
      <x:c r="J139" t="str">
        <x:f>Ativos!U139</x:f>
        <x:v>Sem data</x:v>
      </x:c>
      <x:c r="K139" s="3" t="n">
        <x:f>Ativos!R139</x:f>
        <x:v>0</x:v>
      </x:c>
    </x:row>
    <x:row r="140">
      <x:c r="A140" t="n">
        <x:f>Ativos!A140</x:f>
        <x:v>0</x:v>
      </x:c>
      <x:c r="B140" s="2" t="n">
        <x:f>Ativos!N140</x:f>
        <x:v>0</x:v>
      </x:c>
      <x:c r="C140" t="n">
        <x:f>Ativos!O140</x:f>
        <x:v>0</x:v>
      </x:c>
      <x:c r="D140" t="n">
        <x:f>Ativos!P140</x:f>
        <x:v>0</x:v>
      </x:c>
      <x:c r="E140" t="n">
        <x:f>Ativos!C140</x:f>
        <x:v>0</x:v>
      </x:c>
      <x:c r="F140" t="n">
        <x:f>Ativos!E140</x:f>
        <x:v>0</x:v>
      </x:c>
      <x:c r="G140" t="n">
        <x:f>Ativos!G140</x:f>
        <x:v>0</x:v>
      </x:c>
      <x:c r="H140" t="n">
        <x:f>Ativos!I140</x:f>
        <x:v>0</x:v>
      </x:c>
      <x:c r="I140" t="n">
        <x:f>Ativos!S140</x:f>
        <x:v>0</x:v>
      </x:c>
      <x:c r="J140" t="str">
        <x:f>Ativos!U140</x:f>
        <x:v>Sem data</x:v>
      </x:c>
      <x:c r="K140" s="3" t="n">
        <x:f>Ativos!R140</x:f>
        <x:v>0</x:v>
      </x:c>
    </x:row>
    <x:row r="141">
      <x:c r="A141" t="n">
        <x:f>Ativos!A141</x:f>
        <x:v>0</x:v>
      </x:c>
      <x:c r="B141" s="2" t="n">
        <x:f>Ativos!N141</x:f>
        <x:v>0</x:v>
      </x:c>
      <x:c r="C141" t="n">
        <x:f>Ativos!O141</x:f>
        <x:v>0</x:v>
      </x:c>
      <x:c r="D141" t="n">
        <x:f>Ativos!P141</x:f>
        <x:v>0</x:v>
      </x:c>
      <x:c r="E141" t="n">
        <x:f>Ativos!C141</x:f>
        <x:v>0</x:v>
      </x:c>
      <x:c r="F141" t="n">
        <x:f>Ativos!E141</x:f>
        <x:v>0</x:v>
      </x:c>
      <x:c r="G141" t="n">
        <x:f>Ativos!G141</x:f>
        <x:v>0</x:v>
      </x:c>
      <x:c r="H141" t="n">
        <x:f>Ativos!I141</x:f>
        <x:v>0</x:v>
      </x:c>
      <x:c r="I141" t="n">
        <x:f>Ativos!S141</x:f>
        <x:v>0</x:v>
      </x:c>
      <x:c r="J141" t="str">
        <x:f>Ativos!U141</x:f>
        <x:v>Sem data</x:v>
      </x:c>
      <x:c r="K141" s="3" t="n">
        <x:f>Ativos!R141</x:f>
        <x:v>0</x:v>
      </x:c>
    </x:row>
    <x:row r="142">
      <x:c r="A142" t="n">
        <x:f>Ativos!A142</x:f>
        <x:v>0</x:v>
      </x:c>
      <x:c r="B142" s="2" t="n">
        <x:f>Ativos!N142</x:f>
        <x:v>0</x:v>
      </x:c>
      <x:c r="C142" t="n">
        <x:f>Ativos!O142</x:f>
        <x:v>0</x:v>
      </x:c>
      <x:c r="D142" t="n">
        <x:f>Ativos!P142</x:f>
        <x:v>0</x:v>
      </x:c>
      <x:c r="E142" t="n">
        <x:f>Ativos!C142</x:f>
        <x:v>0</x:v>
      </x:c>
      <x:c r="F142" t="n">
        <x:f>Ativos!E142</x:f>
        <x:v>0</x:v>
      </x:c>
      <x:c r="G142" t="n">
        <x:f>Ativos!G142</x:f>
        <x:v>0</x:v>
      </x:c>
      <x:c r="H142" t="n">
        <x:f>Ativos!I142</x:f>
        <x:v>0</x:v>
      </x:c>
      <x:c r="I142" t="n">
        <x:f>Ativos!S142</x:f>
        <x:v>0</x:v>
      </x:c>
      <x:c r="J142" t="str">
        <x:f>Ativos!U142</x:f>
        <x:v>Sem data</x:v>
      </x:c>
      <x:c r="K142" s="3" t="n">
        <x:f>Ativos!R142</x:f>
        <x:v>0</x:v>
      </x:c>
    </x:row>
    <x:row r="143">
      <x:c r="A143" t="n">
        <x:f>Ativos!A143</x:f>
        <x:v>0</x:v>
      </x:c>
      <x:c r="B143" s="2" t="n">
        <x:f>Ativos!N143</x:f>
        <x:v>0</x:v>
      </x:c>
      <x:c r="C143" t="n">
        <x:f>Ativos!O143</x:f>
        <x:v>0</x:v>
      </x:c>
      <x:c r="D143" t="n">
        <x:f>Ativos!P143</x:f>
        <x:v>0</x:v>
      </x:c>
      <x:c r="E143" t="n">
        <x:f>Ativos!C143</x:f>
        <x:v>0</x:v>
      </x:c>
      <x:c r="F143" t="n">
        <x:f>Ativos!E143</x:f>
        <x:v>0</x:v>
      </x:c>
      <x:c r="G143" t="n">
        <x:f>Ativos!G143</x:f>
        <x:v>0</x:v>
      </x:c>
      <x:c r="H143" t="n">
        <x:f>Ativos!I143</x:f>
        <x:v>0</x:v>
      </x:c>
      <x:c r="I143" t="n">
        <x:f>Ativos!S143</x:f>
        <x:v>0</x:v>
      </x:c>
      <x:c r="J143" t="str">
        <x:f>Ativos!U143</x:f>
        <x:v>Sem data</x:v>
      </x:c>
      <x:c r="K143" s="3" t="n">
        <x:f>Ativos!R143</x:f>
        <x:v>0</x:v>
      </x:c>
    </x:row>
    <x:row r="144">
      <x:c r="A144" t="n">
        <x:f>Ativos!A144</x:f>
        <x:v>0</x:v>
      </x:c>
      <x:c r="B144" s="2" t="n">
        <x:f>Ativos!N144</x:f>
        <x:v>0</x:v>
      </x:c>
      <x:c r="C144" t="n">
        <x:f>Ativos!O144</x:f>
        <x:v>0</x:v>
      </x:c>
      <x:c r="D144" t="n">
        <x:f>Ativos!P144</x:f>
        <x:v>0</x:v>
      </x:c>
      <x:c r="E144" t="n">
        <x:f>Ativos!C144</x:f>
        <x:v>0</x:v>
      </x:c>
      <x:c r="F144" t="n">
        <x:f>Ativos!E144</x:f>
        <x:v>0</x:v>
      </x:c>
      <x:c r="G144" t="n">
        <x:f>Ativos!G144</x:f>
        <x:v>0</x:v>
      </x:c>
      <x:c r="H144" t="n">
        <x:f>Ativos!I144</x:f>
        <x:v>0</x:v>
      </x:c>
      <x:c r="I144" t="n">
        <x:f>Ativos!S144</x:f>
        <x:v>0</x:v>
      </x:c>
      <x:c r="J144" t="str">
        <x:f>Ativos!U144</x:f>
        <x:v>Sem data</x:v>
      </x:c>
      <x:c r="K144" s="3" t="n">
        <x:f>Ativos!R144</x:f>
        <x:v>0</x:v>
      </x:c>
    </x:row>
    <x:row r="145">
      <x:c r="A145" t="n">
        <x:f>Ativos!A145</x:f>
        <x:v>0</x:v>
      </x:c>
      <x:c r="B145" s="2" t="n">
        <x:f>Ativos!N145</x:f>
        <x:v>0</x:v>
      </x:c>
      <x:c r="C145" t="n">
        <x:f>Ativos!O145</x:f>
        <x:v>0</x:v>
      </x:c>
      <x:c r="D145" t="n">
        <x:f>Ativos!P145</x:f>
        <x:v>0</x:v>
      </x:c>
      <x:c r="E145" t="n">
        <x:f>Ativos!C145</x:f>
        <x:v>0</x:v>
      </x:c>
      <x:c r="F145" t="n">
        <x:f>Ativos!E145</x:f>
        <x:v>0</x:v>
      </x:c>
      <x:c r="G145" t="n">
        <x:f>Ativos!G145</x:f>
        <x:v>0</x:v>
      </x:c>
      <x:c r="H145" t="n">
        <x:f>Ativos!I145</x:f>
        <x:v>0</x:v>
      </x:c>
      <x:c r="I145" t="n">
        <x:f>Ativos!S145</x:f>
        <x:v>0</x:v>
      </x:c>
      <x:c r="J145" t="str">
        <x:f>Ativos!U145</x:f>
        <x:v>Sem data</x:v>
      </x:c>
      <x:c r="K145" s="3" t="n">
        <x:f>Ativos!R145</x:f>
        <x:v>0</x:v>
      </x:c>
    </x:row>
    <x:row r="146">
      <x:c r="A146" t="n">
        <x:f>Ativos!A146</x:f>
        <x:v>0</x:v>
      </x:c>
      <x:c r="B146" s="2" t="n">
        <x:f>Ativos!N146</x:f>
        <x:v>0</x:v>
      </x:c>
      <x:c r="C146" t="n">
        <x:f>Ativos!O146</x:f>
        <x:v>0</x:v>
      </x:c>
      <x:c r="D146" t="n">
        <x:f>Ativos!P146</x:f>
        <x:v>0</x:v>
      </x:c>
      <x:c r="E146" t="n">
        <x:f>Ativos!C146</x:f>
        <x:v>0</x:v>
      </x:c>
      <x:c r="F146" t="n">
        <x:f>Ativos!E146</x:f>
        <x:v>0</x:v>
      </x:c>
      <x:c r="G146" t="n">
        <x:f>Ativos!G146</x:f>
        <x:v>0</x:v>
      </x:c>
      <x:c r="H146" t="n">
        <x:f>Ativos!I146</x:f>
        <x:v>0</x:v>
      </x:c>
      <x:c r="I146" t="n">
        <x:f>Ativos!S146</x:f>
        <x:v>0</x:v>
      </x:c>
      <x:c r="J146" t="str">
        <x:f>Ativos!U146</x:f>
        <x:v>Sem data</x:v>
      </x:c>
      <x:c r="K146" s="3" t="n">
        <x:f>Ativos!R146</x:f>
        <x:v>0</x:v>
      </x:c>
    </x:row>
    <x:row r="147">
      <x:c r="A147" t="n">
        <x:f>Ativos!A147</x:f>
        <x:v>0</x:v>
      </x:c>
      <x:c r="B147" s="2" t="n">
        <x:f>Ativos!N147</x:f>
        <x:v>0</x:v>
      </x:c>
      <x:c r="C147" t="n">
        <x:f>Ativos!O147</x:f>
        <x:v>0</x:v>
      </x:c>
      <x:c r="D147" t="n">
        <x:f>Ativos!P147</x:f>
        <x:v>0</x:v>
      </x:c>
      <x:c r="E147" t="n">
        <x:f>Ativos!C147</x:f>
        <x:v>0</x:v>
      </x:c>
      <x:c r="F147" t="n">
        <x:f>Ativos!E147</x:f>
        <x:v>0</x:v>
      </x:c>
      <x:c r="G147" t="n">
        <x:f>Ativos!G147</x:f>
        <x:v>0</x:v>
      </x:c>
      <x:c r="H147" t="n">
        <x:f>Ativos!I147</x:f>
        <x:v>0</x:v>
      </x:c>
      <x:c r="I147" t="n">
        <x:f>Ativos!S147</x:f>
        <x:v>0</x:v>
      </x:c>
      <x:c r="J147" t="str">
        <x:f>Ativos!U147</x:f>
        <x:v>Sem data</x:v>
      </x:c>
      <x:c r="K147" s="3" t="n">
        <x:f>Ativos!R147</x:f>
        <x:v>0</x:v>
      </x:c>
    </x:row>
    <x:row r="148">
      <x:c r="A148" t="n">
        <x:f>Ativos!A148</x:f>
        <x:v>0</x:v>
      </x:c>
      <x:c r="B148" s="2" t="n">
        <x:f>Ativos!N148</x:f>
        <x:v>0</x:v>
      </x:c>
      <x:c r="C148" t="n">
        <x:f>Ativos!O148</x:f>
        <x:v>0</x:v>
      </x:c>
      <x:c r="D148" t="n">
        <x:f>Ativos!P148</x:f>
        <x:v>0</x:v>
      </x:c>
      <x:c r="E148" t="n">
        <x:f>Ativos!C148</x:f>
        <x:v>0</x:v>
      </x:c>
      <x:c r="F148" t="n">
        <x:f>Ativos!E148</x:f>
        <x:v>0</x:v>
      </x:c>
      <x:c r="G148" t="n">
        <x:f>Ativos!G148</x:f>
        <x:v>0</x:v>
      </x:c>
      <x:c r="H148" t="n">
        <x:f>Ativos!I148</x:f>
        <x:v>0</x:v>
      </x:c>
      <x:c r="I148" t="n">
        <x:f>Ativos!S148</x:f>
        <x:v>0</x:v>
      </x:c>
      <x:c r="J148" t="str">
        <x:f>Ativos!U148</x:f>
        <x:v>Sem data</x:v>
      </x:c>
      <x:c r="K148" s="3" t="n">
        <x:f>Ativos!R148</x:f>
        <x:v>0</x:v>
      </x:c>
    </x:row>
    <x:row r="149">
      <x:c r="A149" t="n">
        <x:f>Ativos!A149</x:f>
        <x:v>0</x:v>
      </x:c>
      <x:c r="B149" s="2" t="n">
        <x:f>Ativos!N149</x:f>
        <x:v>0</x:v>
      </x:c>
      <x:c r="C149" t="n">
        <x:f>Ativos!O149</x:f>
        <x:v>0</x:v>
      </x:c>
      <x:c r="D149" t="n">
        <x:f>Ativos!P149</x:f>
        <x:v>0</x:v>
      </x:c>
      <x:c r="E149" t="n">
        <x:f>Ativos!C149</x:f>
        <x:v>0</x:v>
      </x:c>
      <x:c r="F149" t="n">
        <x:f>Ativos!E149</x:f>
        <x:v>0</x:v>
      </x:c>
      <x:c r="G149" t="n">
        <x:f>Ativos!G149</x:f>
        <x:v>0</x:v>
      </x:c>
      <x:c r="H149" t="n">
        <x:f>Ativos!I149</x:f>
        <x:v>0</x:v>
      </x:c>
      <x:c r="I149" t="n">
        <x:f>Ativos!S149</x:f>
        <x:v>0</x:v>
      </x:c>
      <x:c r="J149" t="str">
        <x:f>Ativos!U149</x:f>
        <x:v>Sem data</x:v>
      </x:c>
      <x:c r="K149" s="3" t="n">
        <x:f>Ativos!R149</x:f>
        <x:v>0</x:v>
      </x:c>
    </x:row>
    <x:row r="150">
      <x:c r="A150" t="n">
        <x:f>Ativos!A150</x:f>
        <x:v>0</x:v>
      </x:c>
      <x:c r="B150" s="2" t="n">
        <x:f>Ativos!N150</x:f>
        <x:v>0</x:v>
      </x:c>
      <x:c r="C150" t="n">
        <x:f>Ativos!O150</x:f>
        <x:v>0</x:v>
      </x:c>
      <x:c r="D150" t="n">
        <x:f>Ativos!P150</x:f>
        <x:v>0</x:v>
      </x:c>
      <x:c r="E150" t="n">
        <x:f>Ativos!C150</x:f>
        <x:v>0</x:v>
      </x:c>
      <x:c r="F150" t="n">
        <x:f>Ativos!E150</x:f>
        <x:v>0</x:v>
      </x:c>
      <x:c r="G150" t="n">
        <x:f>Ativos!G150</x:f>
        <x:v>0</x:v>
      </x:c>
      <x:c r="H150" t="n">
        <x:f>Ativos!I150</x:f>
        <x:v>0</x:v>
      </x:c>
      <x:c r="I150" t="n">
        <x:f>Ativos!S150</x:f>
        <x:v>0</x:v>
      </x:c>
      <x:c r="J150" t="str">
        <x:f>Ativos!U150</x:f>
        <x:v>Sem data</x:v>
      </x:c>
      <x:c r="K150" s="3" t="n">
        <x:f>Ativos!R150</x:f>
        <x:v>0</x:v>
      </x:c>
    </x:row>
    <x:row r="151">
      <x:c r="A151" t="n">
        <x:f>Ativos!A151</x:f>
        <x:v>0</x:v>
      </x:c>
      <x:c r="B151" s="2" t="n">
        <x:f>Ativos!N151</x:f>
        <x:v>0</x:v>
      </x:c>
      <x:c r="C151" t="n">
        <x:f>Ativos!O151</x:f>
        <x:v>0</x:v>
      </x:c>
      <x:c r="D151" t="n">
        <x:f>Ativos!P151</x:f>
        <x:v>0</x:v>
      </x:c>
      <x:c r="E151" t="n">
        <x:f>Ativos!C151</x:f>
        <x:v>0</x:v>
      </x:c>
      <x:c r="F151" t="n">
        <x:f>Ativos!E151</x:f>
        <x:v>0</x:v>
      </x:c>
      <x:c r="G151" t="n">
        <x:f>Ativos!G151</x:f>
        <x:v>0</x:v>
      </x:c>
      <x:c r="H151" t="n">
        <x:f>Ativos!I151</x:f>
        <x:v>0</x:v>
      </x:c>
      <x:c r="I151" t="n">
        <x:f>Ativos!S151</x:f>
        <x:v>0</x:v>
      </x:c>
      <x:c r="J151" t="str">
        <x:f>Ativos!U151</x:f>
        <x:v>Sem data</x:v>
      </x:c>
      <x:c r="K151" s="3" t="n">
        <x:f>Ativos!R151</x:f>
        <x:v>0</x:v>
      </x:c>
    </x:row>
    <x:row r="152">
      <x:c r="A152" t="n">
        <x:f>Ativos!A152</x:f>
        <x:v>0</x:v>
      </x:c>
      <x:c r="B152" s="2" t="n">
        <x:f>Ativos!N152</x:f>
        <x:v>0</x:v>
      </x:c>
      <x:c r="C152" t="n">
        <x:f>Ativos!O152</x:f>
        <x:v>0</x:v>
      </x:c>
      <x:c r="D152" t="n">
        <x:f>Ativos!P152</x:f>
        <x:v>0</x:v>
      </x:c>
      <x:c r="E152" t="n">
        <x:f>Ativos!C152</x:f>
        <x:v>0</x:v>
      </x:c>
      <x:c r="F152" t="n">
        <x:f>Ativos!E152</x:f>
        <x:v>0</x:v>
      </x:c>
      <x:c r="G152" t="n">
        <x:f>Ativos!G152</x:f>
        <x:v>0</x:v>
      </x:c>
      <x:c r="H152" t="n">
        <x:f>Ativos!I152</x:f>
        <x:v>0</x:v>
      </x:c>
      <x:c r="I152" t="n">
        <x:f>Ativos!S152</x:f>
        <x:v>0</x:v>
      </x:c>
      <x:c r="J152" t="str">
        <x:f>Ativos!U152</x:f>
        <x:v>Sem data</x:v>
      </x:c>
      <x:c r="K152" s="3" t="n">
        <x:f>Ativos!R152</x:f>
        <x:v>0</x:v>
      </x:c>
    </x:row>
    <x:row r="153">
      <x:c r="A153" t="n">
        <x:f>Ativos!A153</x:f>
        <x:v>0</x:v>
      </x:c>
      <x:c r="B153" s="2" t="n">
        <x:f>Ativos!N153</x:f>
        <x:v>0</x:v>
      </x:c>
      <x:c r="C153" t="n">
        <x:f>Ativos!O153</x:f>
        <x:v>0</x:v>
      </x:c>
      <x:c r="D153" t="n">
        <x:f>Ativos!P153</x:f>
        <x:v>0</x:v>
      </x:c>
      <x:c r="E153" t="n">
        <x:f>Ativos!C153</x:f>
        <x:v>0</x:v>
      </x:c>
      <x:c r="F153" t="n">
        <x:f>Ativos!E153</x:f>
        <x:v>0</x:v>
      </x:c>
      <x:c r="G153" t="n">
        <x:f>Ativos!G153</x:f>
        <x:v>0</x:v>
      </x:c>
      <x:c r="H153" t="n">
        <x:f>Ativos!I153</x:f>
        <x:v>0</x:v>
      </x:c>
      <x:c r="I153" t="n">
        <x:f>Ativos!S153</x:f>
        <x:v>0</x:v>
      </x:c>
      <x:c r="J153" t="str">
        <x:f>Ativos!U153</x:f>
        <x:v>Sem data</x:v>
      </x:c>
      <x:c r="K153" s="3" t="n">
        <x:f>Ativos!R153</x:f>
        <x:v>0</x:v>
      </x:c>
    </x:row>
    <x:row r="154">
      <x:c r="A154" t="n">
        <x:f>Ativos!A154</x:f>
        <x:v>0</x:v>
      </x:c>
      <x:c r="B154" s="2" t="n">
        <x:f>Ativos!N154</x:f>
        <x:v>0</x:v>
      </x:c>
      <x:c r="C154" t="n">
        <x:f>Ativos!O154</x:f>
        <x:v>0</x:v>
      </x:c>
      <x:c r="D154" t="n">
        <x:f>Ativos!P154</x:f>
        <x:v>0</x:v>
      </x:c>
      <x:c r="E154" t="n">
        <x:f>Ativos!C154</x:f>
        <x:v>0</x:v>
      </x:c>
      <x:c r="F154" t="n">
        <x:f>Ativos!E154</x:f>
        <x:v>0</x:v>
      </x:c>
      <x:c r="G154" t="n">
        <x:f>Ativos!G154</x:f>
        <x:v>0</x:v>
      </x:c>
      <x:c r="H154" t="n">
        <x:f>Ativos!I154</x:f>
        <x:v>0</x:v>
      </x:c>
      <x:c r="I154" t="n">
        <x:f>Ativos!S154</x:f>
        <x:v>0</x:v>
      </x:c>
      <x:c r="J154" t="str">
        <x:f>Ativos!U154</x:f>
        <x:v>Sem data</x:v>
      </x:c>
      <x:c r="K154" s="3" t="n">
        <x:f>Ativos!R154</x:f>
        <x:v>0</x:v>
      </x:c>
    </x:row>
    <x:row r="155">
      <x:c r="A155" t="n">
        <x:f>Ativos!A155</x:f>
        <x:v>0</x:v>
      </x:c>
      <x:c r="B155" s="2" t="n">
        <x:f>Ativos!N155</x:f>
        <x:v>0</x:v>
      </x:c>
      <x:c r="C155" t="n">
        <x:f>Ativos!O155</x:f>
        <x:v>0</x:v>
      </x:c>
      <x:c r="D155" t="n">
        <x:f>Ativos!P155</x:f>
        <x:v>0</x:v>
      </x:c>
      <x:c r="E155" t="n">
        <x:f>Ativos!C155</x:f>
        <x:v>0</x:v>
      </x:c>
      <x:c r="F155" t="n">
        <x:f>Ativos!E155</x:f>
        <x:v>0</x:v>
      </x:c>
      <x:c r="G155" t="n">
        <x:f>Ativos!G155</x:f>
        <x:v>0</x:v>
      </x:c>
      <x:c r="H155" t="n">
        <x:f>Ativos!I155</x:f>
        <x:v>0</x:v>
      </x:c>
      <x:c r="I155" t="n">
        <x:f>Ativos!S155</x:f>
        <x:v>0</x:v>
      </x:c>
      <x:c r="J155" t="str">
        <x:f>Ativos!U155</x:f>
        <x:v>Sem data</x:v>
      </x:c>
      <x:c r="K155" s="3" t="n">
        <x:f>Ativos!R155</x:f>
        <x:v>0</x:v>
      </x:c>
    </x:row>
    <x:row r="156">
      <x:c r="A156" t="n">
        <x:f>Ativos!A156</x:f>
        <x:v>0</x:v>
      </x:c>
      <x:c r="B156" s="2" t="n">
        <x:f>Ativos!N156</x:f>
        <x:v>0</x:v>
      </x:c>
      <x:c r="C156" t="n">
        <x:f>Ativos!O156</x:f>
        <x:v>0</x:v>
      </x:c>
      <x:c r="D156" t="n">
        <x:f>Ativos!P156</x:f>
        <x:v>0</x:v>
      </x:c>
      <x:c r="E156" t="n">
        <x:f>Ativos!C156</x:f>
        <x:v>0</x:v>
      </x:c>
      <x:c r="F156" t="n">
        <x:f>Ativos!E156</x:f>
        <x:v>0</x:v>
      </x:c>
      <x:c r="G156" t="n">
        <x:f>Ativos!G156</x:f>
        <x:v>0</x:v>
      </x:c>
      <x:c r="H156" t="n">
        <x:f>Ativos!I156</x:f>
        <x:v>0</x:v>
      </x:c>
      <x:c r="I156" t="n">
        <x:f>Ativos!S156</x:f>
        <x:v>0</x:v>
      </x:c>
      <x:c r="J156" t="str">
        <x:f>Ativos!U156</x:f>
        <x:v>Sem data</x:v>
      </x:c>
      <x:c r="K156" s="3" t="n">
        <x:f>Ativos!R156</x:f>
        <x:v>0</x:v>
      </x:c>
    </x:row>
    <x:row r="157">
      <x:c r="A157" t="n">
        <x:f>Ativos!A157</x:f>
        <x:v>0</x:v>
      </x:c>
      <x:c r="B157" s="2" t="n">
        <x:f>Ativos!N157</x:f>
        <x:v>0</x:v>
      </x:c>
      <x:c r="C157" t="n">
        <x:f>Ativos!O157</x:f>
        <x:v>0</x:v>
      </x:c>
      <x:c r="D157" t="n">
        <x:f>Ativos!P157</x:f>
        <x:v>0</x:v>
      </x:c>
      <x:c r="E157" t="n">
        <x:f>Ativos!C157</x:f>
        <x:v>0</x:v>
      </x:c>
      <x:c r="F157" t="n">
        <x:f>Ativos!E157</x:f>
        <x:v>0</x:v>
      </x:c>
      <x:c r="G157" t="n">
        <x:f>Ativos!G157</x:f>
        <x:v>0</x:v>
      </x:c>
      <x:c r="H157" t="n">
        <x:f>Ativos!I157</x:f>
        <x:v>0</x:v>
      </x:c>
      <x:c r="I157" t="n">
        <x:f>Ativos!S157</x:f>
        <x:v>0</x:v>
      </x:c>
      <x:c r="J157" t="str">
        <x:f>Ativos!U157</x:f>
        <x:v>Sem data</x:v>
      </x:c>
      <x:c r="K157" s="3" t="n">
        <x:f>Ativos!R157</x:f>
        <x:v>0</x:v>
      </x:c>
    </x:row>
    <x:row r="158">
      <x:c r="A158" t="n">
        <x:f>Ativos!A158</x:f>
        <x:v>0</x:v>
      </x:c>
      <x:c r="B158" s="2" t="n">
        <x:f>Ativos!N158</x:f>
        <x:v>0</x:v>
      </x:c>
      <x:c r="C158" t="n">
        <x:f>Ativos!O158</x:f>
        <x:v>0</x:v>
      </x:c>
      <x:c r="D158" t="n">
        <x:f>Ativos!P158</x:f>
        <x:v>0</x:v>
      </x:c>
      <x:c r="E158" t="n">
        <x:f>Ativos!C158</x:f>
        <x:v>0</x:v>
      </x:c>
      <x:c r="F158" t="n">
        <x:f>Ativos!E158</x:f>
        <x:v>0</x:v>
      </x:c>
      <x:c r="G158" t="n">
        <x:f>Ativos!G158</x:f>
        <x:v>0</x:v>
      </x:c>
      <x:c r="H158" t="n">
        <x:f>Ativos!I158</x:f>
        <x:v>0</x:v>
      </x:c>
      <x:c r="I158" t="n">
        <x:f>Ativos!S158</x:f>
        <x:v>0</x:v>
      </x:c>
      <x:c r="J158" t="str">
        <x:f>Ativos!U158</x:f>
        <x:v>Sem data</x:v>
      </x:c>
      <x:c r="K158" s="3" t="n">
        <x:f>Ativos!R158</x:f>
        <x:v>0</x:v>
      </x:c>
    </x:row>
    <x:row r="159">
      <x:c r="A159" t="n">
        <x:f>Ativos!A159</x:f>
        <x:v>0</x:v>
      </x:c>
      <x:c r="B159" s="2" t="n">
        <x:f>Ativos!N159</x:f>
        <x:v>0</x:v>
      </x:c>
      <x:c r="C159" t="n">
        <x:f>Ativos!O159</x:f>
        <x:v>0</x:v>
      </x:c>
      <x:c r="D159" t="n">
        <x:f>Ativos!P159</x:f>
        <x:v>0</x:v>
      </x:c>
      <x:c r="E159" t="n">
        <x:f>Ativos!C159</x:f>
        <x:v>0</x:v>
      </x:c>
      <x:c r="F159" t="n">
        <x:f>Ativos!E159</x:f>
        <x:v>0</x:v>
      </x:c>
      <x:c r="G159" t="n">
        <x:f>Ativos!G159</x:f>
        <x:v>0</x:v>
      </x:c>
      <x:c r="H159" t="n">
        <x:f>Ativos!I159</x:f>
        <x:v>0</x:v>
      </x:c>
      <x:c r="I159" t="n">
        <x:f>Ativos!S159</x:f>
        <x:v>0</x:v>
      </x:c>
      <x:c r="J159" t="str">
        <x:f>Ativos!U159</x:f>
        <x:v>Sem data</x:v>
      </x:c>
      <x:c r="K159" s="3" t="n">
        <x:f>Ativos!R159</x:f>
        <x:v>0</x:v>
      </x:c>
    </x:row>
    <x:row r="160">
      <x:c r="A160" t="n">
        <x:f>Ativos!A160</x:f>
        <x:v>0</x:v>
      </x:c>
      <x:c r="B160" s="2" t="n">
        <x:f>Ativos!N160</x:f>
        <x:v>0</x:v>
      </x:c>
      <x:c r="C160" t="n">
        <x:f>Ativos!O160</x:f>
        <x:v>0</x:v>
      </x:c>
      <x:c r="D160" t="n">
        <x:f>Ativos!P160</x:f>
        <x:v>0</x:v>
      </x:c>
      <x:c r="E160" t="n">
        <x:f>Ativos!C160</x:f>
        <x:v>0</x:v>
      </x:c>
      <x:c r="F160" t="n">
        <x:f>Ativos!E160</x:f>
        <x:v>0</x:v>
      </x:c>
      <x:c r="G160" t="n">
        <x:f>Ativos!G160</x:f>
        <x:v>0</x:v>
      </x:c>
      <x:c r="H160" t="n">
        <x:f>Ativos!I160</x:f>
        <x:v>0</x:v>
      </x:c>
      <x:c r="I160" t="n">
        <x:f>Ativos!S160</x:f>
        <x:v>0</x:v>
      </x:c>
      <x:c r="J160" t="str">
        <x:f>Ativos!U160</x:f>
        <x:v>Sem data</x:v>
      </x:c>
      <x:c r="K160" s="3" t="n">
        <x:f>Ativos!R160</x:f>
        <x:v>0</x:v>
      </x:c>
    </x:row>
    <x:row r="161">
      <x:c r="A161" t="n">
        <x:f>Ativos!A161</x:f>
        <x:v>0</x:v>
      </x:c>
      <x:c r="B161" s="2" t="n">
        <x:f>Ativos!N161</x:f>
        <x:v>0</x:v>
      </x:c>
      <x:c r="C161" t="n">
        <x:f>Ativos!O161</x:f>
        <x:v>0</x:v>
      </x:c>
      <x:c r="D161" t="n">
        <x:f>Ativos!P161</x:f>
        <x:v>0</x:v>
      </x:c>
      <x:c r="E161" t="n">
        <x:f>Ativos!C161</x:f>
        <x:v>0</x:v>
      </x:c>
      <x:c r="F161" t="n">
        <x:f>Ativos!E161</x:f>
        <x:v>0</x:v>
      </x:c>
      <x:c r="G161" t="n">
        <x:f>Ativos!G161</x:f>
        <x:v>0</x:v>
      </x:c>
      <x:c r="H161" t="n">
        <x:f>Ativos!I161</x:f>
        <x:v>0</x:v>
      </x:c>
      <x:c r="I161" t="n">
        <x:f>Ativos!S161</x:f>
        <x:v>0</x:v>
      </x:c>
      <x:c r="J161" t="str">
        <x:f>Ativos!U161</x:f>
        <x:v>Sem data</x:v>
      </x:c>
      <x:c r="K161" s="3" t="n">
        <x:f>Ativos!R161</x:f>
        <x:v>0</x:v>
      </x:c>
    </x:row>
    <x:row r="162">
      <x:c r="A162" t="n">
        <x:f>Ativos!A162</x:f>
        <x:v>0</x:v>
      </x:c>
      <x:c r="B162" s="2" t="n">
        <x:f>Ativos!N162</x:f>
        <x:v>0</x:v>
      </x:c>
      <x:c r="C162" t="n">
        <x:f>Ativos!O162</x:f>
        <x:v>0</x:v>
      </x:c>
      <x:c r="D162" t="n">
        <x:f>Ativos!P162</x:f>
        <x:v>0</x:v>
      </x:c>
      <x:c r="E162" t="n">
        <x:f>Ativos!C162</x:f>
        <x:v>0</x:v>
      </x:c>
      <x:c r="F162" t="n">
        <x:f>Ativos!E162</x:f>
        <x:v>0</x:v>
      </x:c>
      <x:c r="G162" t="n">
        <x:f>Ativos!G162</x:f>
        <x:v>0</x:v>
      </x:c>
      <x:c r="H162" t="n">
        <x:f>Ativos!I162</x:f>
        <x:v>0</x:v>
      </x:c>
      <x:c r="I162" t="n">
        <x:f>Ativos!S162</x:f>
        <x:v>0</x:v>
      </x:c>
      <x:c r="J162" t="str">
        <x:f>Ativos!U162</x:f>
        <x:v>Sem data</x:v>
      </x:c>
      <x:c r="K162" s="3" t="n">
        <x:f>Ativos!R162</x:f>
        <x:v>0</x:v>
      </x:c>
    </x:row>
    <x:row r="163">
      <x:c r="A163" t="n">
        <x:f>Ativos!A163</x:f>
        <x:v>0</x:v>
      </x:c>
      <x:c r="B163" s="2" t="n">
        <x:f>Ativos!N163</x:f>
        <x:v>0</x:v>
      </x:c>
      <x:c r="C163" t="n">
        <x:f>Ativos!O163</x:f>
        <x:v>0</x:v>
      </x:c>
      <x:c r="D163" t="n">
        <x:f>Ativos!P163</x:f>
        <x:v>0</x:v>
      </x:c>
      <x:c r="E163" t="n">
        <x:f>Ativos!C163</x:f>
        <x:v>0</x:v>
      </x:c>
      <x:c r="F163" t="n">
        <x:f>Ativos!E163</x:f>
        <x:v>0</x:v>
      </x:c>
      <x:c r="G163" t="n">
        <x:f>Ativos!G163</x:f>
        <x:v>0</x:v>
      </x:c>
      <x:c r="H163" t="n">
        <x:f>Ativos!I163</x:f>
        <x:v>0</x:v>
      </x:c>
      <x:c r="I163" t="n">
        <x:f>Ativos!S163</x:f>
        <x:v>0</x:v>
      </x:c>
      <x:c r="J163" t="str">
        <x:f>Ativos!U163</x:f>
        <x:v>Sem data</x:v>
      </x:c>
      <x:c r="K163" s="3" t="n">
        <x:f>Ativos!R163</x:f>
        <x:v>0</x:v>
      </x:c>
    </x:row>
    <x:row r="164">
      <x:c r="A164" t="n">
        <x:f>Ativos!A164</x:f>
        <x:v>0</x:v>
      </x:c>
      <x:c r="B164" s="2" t="n">
        <x:f>Ativos!N164</x:f>
        <x:v>0</x:v>
      </x:c>
      <x:c r="C164" t="n">
        <x:f>Ativos!O164</x:f>
        <x:v>0</x:v>
      </x:c>
      <x:c r="D164" t="n">
        <x:f>Ativos!P164</x:f>
        <x:v>0</x:v>
      </x:c>
      <x:c r="E164" t="n">
        <x:f>Ativos!C164</x:f>
        <x:v>0</x:v>
      </x:c>
      <x:c r="F164" t="n">
        <x:f>Ativos!E164</x:f>
        <x:v>0</x:v>
      </x:c>
      <x:c r="G164" t="n">
        <x:f>Ativos!G164</x:f>
        <x:v>0</x:v>
      </x:c>
      <x:c r="H164" t="n">
        <x:f>Ativos!I164</x:f>
        <x:v>0</x:v>
      </x:c>
      <x:c r="I164" t="n">
        <x:f>Ativos!S164</x:f>
        <x:v>0</x:v>
      </x:c>
      <x:c r="J164" t="str">
        <x:f>Ativos!U164</x:f>
        <x:v>Sem data</x:v>
      </x:c>
      <x:c r="K164" s="3" t="n">
        <x:f>Ativos!R164</x:f>
        <x:v>0</x:v>
      </x:c>
    </x:row>
    <x:row r="165">
      <x:c r="A165" t="n">
        <x:f>Ativos!A165</x:f>
        <x:v>0</x:v>
      </x:c>
      <x:c r="B165" s="2" t="n">
        <x:f>Ativos!N165</x:f>
        <x:v>0</x:v>
      </x:c>
      <x:c r="C165" t="n">
        <x:f>Ativos!O165</x:f>
        <x:v>0</x:v>
      </x:c>
      <x:c r="D165" t="n">
        <x:f>Ativos!P165</x:f>
        <x:v>0</x:v>
      </x:c>
      <x:c r="E165" t="n">
        <x:f>Ativos!C165</x:f>
        <x:v>0</x:v>
      </x:c>
      <x:c r="F165" t="n">
        <x:f>Ativos!E165</x:f>
        <x:v>0</x:v>
      </x:c>
      <x:c r="G165" t="n">
        <x:f>Ativos!G165</x:f>
        <x:v>0</x:v>
      </x:c>
      <x:c r="H165" t="n">
        <x:f>Ativos!I165</x:f>
        <x:v>0</x:v>
      </x:c>
      <x:c r="I165" t="n">
        <x:f>Ativos!S165</x:f>
        <x:v>0</x:v>
      </x:c>
      <x:c r="J165" t="str">
        <x:f>Ativos!U165</x:f>
        <x:v>Sem data</x:v>
      </x:c>
      <x:c r="K165" s="3" t="n">
        <x:f>Ativos!R165</x:f>
        <x:v>0</x:v>
      </x:c>
    </x:row>
    <x:row r="166">
      <x:c r="A166" t="n">
        <x:f>Ativos!A166</x:f>
        <x:v>0</x:v>
      </x:c>
      <x:c r="B166" s="2" t="n">
        <x:f>Ativos!N166</x:f>
        <x:v>0</x:v>
      </x:c>
      <x:c r="C166" t="n">
        <x:f>Ativos!O166</x:f>
        <x:v>0</x:v>
      </x:c>
      <x:c r="D166" t="n">
        <x:f>Ativos!P166</x:f>
        <x:v>0</x:v>
      </x:c>
      <x:c r="E166" t="n">
        <x:f>Ativos!C166</x:f>
        <x:v>0</x:v>
      </x:c>
      <x:c r="F166" t="n">
        <x:f>Ativos!E166</x:f>
        <x:v>0</x:v>
      </x:c>
      <x:c r="G166" t="n">
        <x:f>Ativos!G166</x:f>
        <x:v>0</x:v>
      </x:c>
      <x:c r="H166" t="n">
        <x:f>Ativos!I166</x:f>
        <x:v>0</x:v>
      </x:c>
      <x:c r="I166" t="n">
        <x:f>Ativos!S166</x:f>
        <x:v>0</x:v>
      </x:c>
      <x:c r="J166" t="str">
        <x:f>Ativos!U166</x:f>
        <x:v>Sem data</x:v>
      </x:c>
      <x:c r="K166" s="3" t="n">
        <x:f>Ativos!R166</x:f>
        <x:v>0</x:v>
      </x:c>
    </x:row>
    <x:row r="167">
      <x:c r="A167" t="n">
        <x:f>Ativos!A167</x:f>
        <x:v>0</x:v>
      </x:c>
      <x:c r="B167" s="2" t="n">
        <x:f>Ativos!N167</x:f>
        <x:v>0</x:v>
      </x:c>
      <x:c r="C167" t="n">
        <x:f>Ativos!O167</x:f>
        <x:v>0</x:v>
      </x:c>
      <x:c r="D167" t="n">
        <x:f>Ativos!P167</x:f>
        <x:v>0</x:v>
      </x:c>
      <x:c r="E167" t="n">
        <x:f>Ativos!C167</x:f>
        <x:v>0</x:v>
      </x:c>
      <x:c r="F167" t="n">
        <x:f>Ativos!E167</x:f>
        <x:v>0</x:v>
      </x:c>
      <x:c r="G167" t="n">
        <x:f>Ativos!G167</x:f>
        <x:v>0</x:v>
      </x:c>
      <x:c r="H167" t="n">
        <x:f>Ativos!I167</x:f>
        <x:v>0</x:v>
      </x:c>
      <x:c r="I167" t="n">
        <x:f>Ativos!S167</x:f>
        <x:v>0</x:v>
      </x:c>
      <x:c r="J167" t="str">
        <x:f>Ativos!U167</x:f>
        <x:v>Sem data</x:v>
      </x:c>
      <x:c r="K167" s="3" t="n">
        <x:f>Ativos!R167</x:f>
        <x:v>0</x:v>
      </x:c>
    </x:row>
    <x:row r="168">
      <x:c r="A168" t="n">
        <x:f>Ativos!A168</x:f>
        <x:v>0</x:v>
      </x:c>
      <x:c r="B168" s="2" t="n">
        <x:f>Ativos!N168</x:f>
        <x:v>0</x:v>
      </x:c>
      <x:c r="C168" t="n">
        <x:f>Ativos!O168</x:f>
        <x:v>0</x:v>
      </x:c>
      <x:c r="D168" t="n">
        <x:f>Ativos!P168</x:f>
        <x:v>0</x:v>
      </x:c>
      <x:c r="E168" t="n">
        <x:f>Ativos!C168</x:f>
        <x:v>0</x:v>
      </x:c>
      <x:c r="F168" t="n">
        <x:f>Ativos!E168</x:f>
        <x:v>0</x:v>
      </x:c>
      <x:c r="G168" t="n">
        <x:f>Ativos!G168</x:f>
        <x:v>0</x:v>
      </x:c>
      <x:c r="H168" t="n">
        <x:f>Ativos!I168</x:f>
        <x:v>0</x:v>
      </x:c>
      <x:c r="I168" t="n">
        <x:f>Ativos!S168</x:f>
        <x:v>0</x:v>
      </x:c>
      <x:c r="J168" t="str">
        <x:f>Ativos!U168</x:f>
        <x:v>Sem data</x:v>
      </x:c>
      <x:c r="K168" s="3" t="n">
        <x:f>Ativos!R168</x:f>
        <x:v>0</x:v>
      </x:c>
    </x:row>
    <x:row r="169">
      <x:c r="A169" t="n">
        <x:f>Ativos!A169</x:f>
        <x:v>0</x:v>
      </x:c>
      <x:c r="B169" s="2" t="n">
        <x:f>Ativos!N169</x:f>
        <x:v>0</x:v>
      </x:c>
      <x:c r="C169" t="n">
        <x:f>Ativos!O169</x:f>
        <x:v>0</x:v>
      </x:c>
      <x:c r="D169" t="n">
        <x:f>Ativos!P169</x:f>
        <x:v>0</x:v>
      </x:c>
      <x:c r="E169" t="n">
        <x:f>Ativos!C169</x:f>
        <x:v>0</x:v>
      </x:c>
      <x:c r="F169" t="n">
        <x:f>Ativos!E169</x:f>
        <x:v>0</x:v>
      </x:c>
      <x:c r="G169" t="n">
        <x:f>Ativos!G169</x:f>
        <x:v>0</x:v>
      </x:c>
      <x:c r="H169" t="n">
        <x:f>Ativos!I169</x:f>
        <x:v>0</x:v>
      </x:c>
      <x:c r="I169" t="n">
        <x:f>Ativos!S169</x:f>
        <x:v>0</x:v>
      </x:c>
      <x:c r="J169" t="str">
        <x:f>Ativos!U169</x:f>
        <x:v>Sem data</x:v>
      </x:c>
      <x:c r="K169" s="3" t="n">
        <x:f>Ativos!R169</x:f>
        <x:v>0</x:v>
      </x:c>
    </x:row>
    <x:row r="170">
      <x:c r="A170" t="n">
        <x:f>Ativos!A170</x:f>
        <x:v>0</x:v>
      </x:c>
      <x:c r="B170" s="2" t="n">
        <x:f>Ativos!N170</x:f>
        <x:v>0</x:v>
      </x:c>
      <x:c r="C170" t="n">
        <x:f>Ativos!O170</x:f>
        <x:v>0</x:v>
      </x:c>
      <x:c r="D170" t="n">
        <x:f>Ativos!P170</x:f>
        <x:v>0</x:v>
      </x:c>
      <x:c r="E170" t="n">
        <x:f>Ativos!C170</x:f>
        <x:v>0</x:v>
      </x:c>
      <x:c r="F170" t="n">
        <x:f>Ativos!E170</x:f>
        <x:v>0</x:v>
      </x:c>
      <x:c r="G170" t="n">
        <x:f>Ativos!G170</x:f>
        <x:v>0</x:v>
      </x:c>
      <x:c r="H170" t="n">
        <x:f>Ativos!I170</x:f>
        <x:v>0</x:v>
      </x:c>
      <x:c r="I170" t="n">
        <x:f>Ativos!S170</x:f>
        <x:v>0</x:v>
      </x:c>
      <x:c r="J170" t="str">
        <x:f>Ativos!U170</x:f>
        <x:v>Sem data</x:v>
      </x:c>
      <x:c r="K170" s="3" t="n">
        <x:f>Ativos!R170</x:f>
        <x:v>0</x:v>
      </x:c>
    </x:row>
    <x:row r="171">
      <x:c r="A171" t="n">
        <x:f>Ativos!A171</x:f>
        <x:v>0</x:v>
      </x:c>
      <x:c r="B171" s="2" t="n">
        <x:f>Ativos!N171</x:f>
        <x:v>0</x:v>
      </x:c>
      <x:c r="C171" t="n">
        <x:f>Ativos!O171</x:f>
        <x:v>0</x:v>
      </x:c>
      <x:c r="D171" t="n">
        <x:f>Ativos!P171</x:f>
        <x:v>0</x:v>
      </x:c>
      <x:c r="E171" t="n">
        <x:f>Ativos!C171</x:f>
        <x:v>0</x:v>
      </x:c>
      <x:c r="F171" t="n">
        <x:f>Ativos!E171</x:f>
        <x:v>0</x:v>
      </x:c>
      <x:c r="G171" t="n">
        <x:f>Ativos!G171</x:f>
        <x:v>0</x:v>
      </x:c>
      <x:c r="H171" t="n">
        <x:f>Ativos!I171</x:f>
        <x:v>0</x:v>
      </x:c>
      <x:c r="I171" t="n">
        <x:f>Ativos!S171</x:f>
        <x:v>0</x:v>
      </x:c>
      <x:c r="J171" t="str">
        <x:f>Ativos!U171</x:f>
        <x:v>Sem data</x:v>
      </x:c>
      <x:c r="K171" s="3" t="n">
        <x:f>Ativos!R171</x:f>
        <x:v>0</x:v>
      </x:c>
    </x:row>
    <x:row r="172">
      <x:c r="A172" t="n">
        <x:f>Ativos!A172</x:f>
        <x:v>0</x:v>
      </x:c>
      <x:c r="B172" s="2" t="n">
        <x:f>Ativos!N172</x:f>
        <x:v>0</x:v>
      </x:c>
      <x:c r="C172" t="n">
        <x:f>Ativos!O172</x:f>
        <x:v>0</x:v>
      </x:c>
      <x:c r="D172" t="n">
        <x:f>Ativos!P172</x:f>
        <x:v>0</x:v>
      </x:c>
      <x:c r="E172" t="n">
        <x:f>Ativos!C172</x:f>
        <x:v>0</x:v>
      </x:c>
      <x:c r="F172" t="n">
        <x:f>Ativos!E172</x:f>
        <x:v>0</x:v>
      </x:c>
      <x:c r="G172" t="n">
        <x:f>Ativos!G172</x:f>
        <x:v>0</x:v>
      </x:c>
      <x:c r="H172" t="n">
        <x:f>Ativos!I172</x:f>
        <x:v>0</x:v>
      </x:c>
      <x:c r="I172" t="n">
        <x:f>Ativos!S172</x:f>
        <x:v>0</x:v>
      </x:c>
      <x:c r="J172" t="str">
        <x:f>Ativos!U172</x:f>
        <x:v>Sem data</x:v>
      </x:c>
      <x:c r="K172" s="3" t="n">
        <x:f>Ativos!R172</x:f>
        <x:v>0</x:v>
      </x:c>
    </x:row>
    <x:row r="173">
      <x:c r="A173" t="n">
        <x:f>Ativos!A173</x:f>
        <x:v>0</x:v>
      </x:c>
      <x:c r="B173" s="2" t="n">
        <x:f>Ativos!N173</x:f>
        <x:v>0</x:v>
      </x:c>
      <x:c r="C173" t="n">
        <x:f>Ativos!O173</x:f>
        <x:v>0</x:v>
      </x:c>
      <x:c r="D173" t="n">
        <x:f>Ativos!P173</x:f>
        <x:v>0</x:v>
      </x:c>
      <x:c r="E173" t="n">
        <x:f>Ativos!C173</x:f>
        <x:v>0</x:v>
      </x:c>
      <x:c r="F173" t="n">
        <x:f>Ativos!E173</x:f>
        <x:v>0</x:v>
      </x:c>
      <x:c r="G173" t="n">
        <x:f>Ativos!G173</x:f>
        <x:v>0</x:v>
      </x:c>
      <x:c r="H173" t="n">
        <x:f>Ativos!I173</x:f>
        <x:v>0</x:v>
      </x:c>
      <x:c r="I173" t="n">
        <x:f>Ativos!S173</x:f>
        <x:v>0</x:v>
      </x:c>
      <x:c r="J173" t="str">
        <x:f>Ativos!U173</x:f>
        <x:v>Sem data</x:v>
      </x:c>
      <x:c r="K173" s="3" t="n">
        <x:f>Ativos!R173</x:f>
        <x:v>0</x:v>
      </x:c>
    </x:row>
    <x:row r="174">
      <x:c r="A174" t="n">
        <x:f>Ativos!A174</x:f>
        <x:v>0</x:v>
      </x:c>
      <x:c r="B174" s="2" t="n">
        <x:f>Ativos!N174</x:f>
        <x:v>0</x:v>
      </x:c>
      <x:c r="C174" t="n">
        <x:f>Ativos!O174</x:f>
        <x:v>0</x:v>
      </x:c>
      <x:c r="D174" t="n">
        <x:f>Ativos!P174</x:f>
        <x:v>0</x:v>
      </x:c>
      <x:c r="E174" t="n">
        <x:f>Ativos!C174</x:f>
        <x:v>0</x:v>
      </x:c>
      <x:c r="F174" t="n">
        <x:f>Ativos!E174</x:f>
        <x:v>0</x:v>
      </x:c>
      <x:c r="G174" t="n">
        <x:f>Ativos!G174</x:f>
        <x:v>0</x:v>
      </x:c>
      <x:c r="H174" t="n">
        <x:f>Ativos!I174</x:f>
        <x:v>0</x:v>
      </x:c>
      <x:c r="I174" t="n">
        <x:f>Ativos!S174</x:f>
        <x:v>0</x:v>
      </x:c>
      <x:c r="J174" t="str">
        <x:f>Ativos!U174</x:f>
        <x:v>Sem data</x:v>
      </x:c>
      <x:c r="K174" s="3" t="n">
        <x:f>Ativos!R174</x:f>
        <x:v>0</x:v>
      </x:c>
    </x:row>
    <x:row r="175">
      <x:c r="A175" t="n">
        <x:f>Ativos!A175</x:f>
        <x:v>0</x:v>
      </x:c>
      <x:c r="B175" s="2" t="n">
        <x:f>Ativos!N175</x:f>
        <x:v>0</x:v>
      </x:c>
      <x:c r="C175" t="n">
        <x:f>Ativos!O175</x:f>
        <x:v>0</x:v>
      </x:c>
      <x:c r="D175" t="n">
        <x:f>Ativos!P175</x:f>
        <x:v>0</x:v>
      </x:c>
      <x:c r="E175" t="n">
        <x:f>Ativos!C175</x:f>
        <x:v>0</x:v>
      </x:c>
      <x:c r="F175" t="n">
        <x:f>Ativos!E175</x:f>
        <x:v>0</x:v>
      </x:c>
      <x:c r="G175" t="n">
        <x:f>Ativos!G175</x:f>
        <x:v>0</x:v>
      </x:c>
      <x:c r="H175" t="n">
        <x:f>Ativos!I175</x:f>
        <x:v>0</x:v>
      </x:c>
      <x:c r="I175" t="n">
        <x:f>Ativos!S175</x:f>
        <x:v>0</x:v>
      </x:c>
      <x:c r="J175" t="str">
        <x:f>Ativos!U175</x:f>
        <x:v>Sem data</x:v>
      </x:c>
      <x:c r="K175" s="3" t="n">
        <x:f>Ativos!R175</x:f>
        <x:v>0</x:v>
      </x:c>
    </x:row>
    <x:row r="176">
      <x:c r="A176" t="n">
        <x:f>Ativos!A176</x:f>
        <x:v>0</x:v>
      </x:c>
      <x:c r="B176" s="2" t="n">
        <x:f>Ativos!N176</x:f>
        <x:v>0</x:v>
      </x:c>
      <x:c r="C176" t="n">
        <x:f>Ativos!O176</x:f>
        <x:v>0</x:v>
      </x:c>
      <x:c r="D176" t="n">
        <x:f>Ativos!P176</x:f>
        <x:v>0</x:v>
      </x:c>
      <x:c r="E176" t="n">
        <x:f>Ativos!C176</x:f>
        <x:v>0</x:v>
      </x:c>
      <x:c r="F176" t="n">
        <x:f>Ativos!E176</x:f>
        <x:v>0</x:v>
      </x:c>
      <x:c r="G176" t="n">
        <x:f>Ativos!G176</x:f>
        <x:v>0</x:v>
      </x:c>
      <x:c r="H176" t="n">
        <x:f>Ativos!I176</x:f>
        <x:v>0</x:v>
      </x:c>
      <x:c r="I176" t="n">
        <x:f>Ativos!S176</x:f>
        <x:v>0</x:v>
      </x:c>
      <x:c r="J176" t="str">
        <x:f>Ativos!U176</x:f>
        <x:v>Sem data</x:v>
      </x:c>
      <x:c r="K176" s="3" t="n">
        <x:f>Ativos!R176</x:f>
        <x:v>0</x:v>
      </x:c>
    </x:row>
    <x:row r="177">
      <x:c r="A177" t="n">
        <x:f>Ativos!A177</x:f>
        <x:v>0</x:v>
      </x:c>
      <x:c r="B177" s="2" t="n">
        <x:f>Ativos!N177</x:f>
        <x:v>0</x:v>
      </x:c>
      <x:c r="C177" t="n">
        <x:f>Ativos!O177</x:f>
        <x:v>0</x:v>
      </x:c>
      <x:c r="D177" t="n">
        <x:f>Ativos!P177</x:f>
        <x:v>0</x:v>
      </x:c>
      <x:c r="E177" t="n">
        <x:f>Ativos!C177</x:f>
        <x:v>0</x:v>
      </x:c>
      <x:c r="F177" t="n">
        <x:f>Ativos!E177</x:f>
        <x:v>0</x:v>
      </x:c>
      <x:c r="G177" t="n">
        <x:f>Ativos!G177</x:f>
        <x:v>0</x:v>
      </x:c>
      <x:c r="H177" t="n">
        <x:f>Ativos!I177</x:f>
        <x:v>0</x:v>
      </x:c>
      <x:c r="I177" t="n">
        <x:f>Ativos!S177</x:f>
        <x:v>0</x:v>
      </x:c>
      <x:c r="J177" t="str">
        <x:f>Ativos!U177</x:f>
        <x:v>Sem data</x:v>
      </x:c>
      <x:c r="K177" s="3" t="n">
        <x:f>Ativos!R177</x:f>
        <x:v>0</x:v>
      </x:c>
    </x:row>
    <x:row r="178">
      <x:c r="A178" t="n">
        <x:f>Ativos!A178</x:f>
        <x:v>0</x:v>
      </x:c>
      <x:c r="B178" s="2" t="n">
        <x:f>Ativos!N178</x:f>
        <x:v>0</x:v>
      </x:c>
      <x:c r="C178" t="n">
        <x:f>Ativos!O178</x:f>
        <x:v>0</x:v>
      </x:c>
      <x:c r="D178" t="n">
        <x:f>Ativos!P178</x:f>
        <x:v>0</x:v>
      </x:c>
      <x:c r="E178" t="n">
        <x:f>Ativos!C178</x:f>
        <x:v>0</x:v>
      </x:c>
      <x:c r="F178" t="n">
        <x:f>Ativos!E178</x:f>
        <x:v>0</x:v>
      </x:c>
      <x:c r="G178" t="n">
        <x:f>Ativos!G178</x:f>
        <x:v>0</x:v>
      </x:c>
      <x:c r="H178" t="n">
        <x:f>Ativos!I178</x:f>
        <x:v>0</x:v>
      </x:c>
      <x:c r="I178" t="n">
        <x:f>Ativos!S178</x:f>
        <x:v>0</x:v>
      </x:c>
      <x:c r="J178" t="str">
        <x:f>Ativos!U178</x:f>
        <x:v>Sem data</x:v>
      </x:c>
      <x:c r="K178" s="3" t="n">
        <x:f>Ativos!R178</x:f>
        <x:v>0</x:v>
      </x:c>
    </x:row>
    <x:row r="179">
      <x:c r="A179" t="n">
        <x:f>Ativos!A179</x:f>
        <x:v>0</x:v>
      </x:c>
      <x:c r="B179" s="2" t="n">
        <x:f>Ativos!N179</x:f>
        <x:v>0</x:v>
      </x:c>
      <x:c r="C179" t="n">
        <x:f>Ativos!O179</x:f>
        <x:v>0</x:v>
      </x:c>
      <x:c r="D179" t="n">
        <x:f>Ativos!P179</x:f>
        <x:v>0</x:v>
      </x:c>
      <x:c r="E179" t="n">
        <x:f>Ativos!C179</x:f>
        <x:v>0</x:v>
      </x:c>
      <x:c r="F179" t="n">
        <x:f>Ativos!E179</x:f>
        <x:v>0</x:v>
      </x:c>
      <x:c r="G179" t="n">
        <x:f>Ativos!G179</x:f>
        <x:v>0</x:v>
      </x:c>
      <x:c r="H179" t="n">
        <x:f>Ativos!I179</x:f>
        <x:v>0</x:v>
      </x:c>
      <x:c r="I179" t="n">
        <x:f>Ativos!S179</x:f>
        <x:v>0</x:v>
      </x:c>
      <x:c r="J179" t="str">
        <x:f>Ativos!U179</x:f>
        <x:v>Sem data</x:v>
      </x:c>
      <x:c r="K179" s="3" t="n">
        <x:f>Ativos!R179</x:f>
        <x:v>0</x:v>
      </x:c>
    </x:row>
    <x:row r="180">
      <x:c r="A180" t="n">
        <x:f>Ativos!A180</x:f>
        <x:v>0</x:v>
      </x:c>
      <x:c r="B180" s="2" t="n">
        <x:f>Ativos!N180</x:f>
        <x:v>0</x:v>
      </x:c>
      <x:c r="C180" t="n">
        <x:f>Ativos!O180</x:f>
        <x:v>0</x:v>
      </x:c>
      <x:c r="D180" t="n">
        <x:f>Ativos!P180</x:f>
        <x:v>0</x:v>
      </x:c>
      <x:c r="E180" t="n">
        <x:f>Ativos!C180</x:f>
        <x:v>0</x:v>
      </x:c>
      <x:c r="F180" t="n">
        <x:f>Ativos!E180</x:f>
        <x:v>0</x:v>
      </x:c>
      <x:c r="G180" t="n">
        <x:f>Ativos!G180</x:f>
        <x:v>0</x:v>
      </x:c>
      <x:c r="H180" t="n">
        <x:f>Ativos!I180</x:f>
        <x:v>0</x:v>
      </x:c>
      <x:c r="I180" t="n">
        <x:f>Ativos!S180</x:f>
        <x:v>0</x:v>
      </x:c>
      <x:c r="J180" t="str">
        <x:f>Ativos!U180</x:f>
        <x:v>Sem data</x:v>
      </x:c>
      <x:c r="K180" s="3" t="n">
        <x:f>Ativos!R180</x:f>
        <x:v>0</x:v>
      </x:c>
    </x:row>
    <x:row r="181">
      <x:c r="A181" t="n">
        <x:f>Ativos!A181</x:f>
        <x:v>0</x:v>
      </x:c>
      <x:c r="B181" s="2" t="n">
        <x:f>Ativos!N181</x:f>
        <x:v>0</x:v>
      </x:c>
      <x:c r="C181" t="n">
        <x:f>Ativos!O181</x:f>
        <x:v>0</x:v>
      </x:c>
      <x:c r="D181" t="n">
        <x:f>Ativos!P181</x:f>
        <x:v>0</x:v>
      </x:c>
      <x:c r="E181" t="n">
        <x:f>Ativos!C181</x:f>
        <x:v>0</x:v>
      </x:c>
      <x:c r="F181" t="n">
        <x:f>Ativos!E181</x:f>
        <x:v>0</x:v>
      </x:c>
      <x:c r="G181" t="n">
        <x:f>Ativos!G181</x:f>
        <x:v>0</x:v>
      </x:c>
      <x:c r="H181" t="n">
        <x:f>Ativos!I181</x:f>
        <x:v>0</x:v>
      </x:c>
      <x:c r="I181" t="n">
        <x:f>Ativos!S181</x:f>
        <x:v>0</x:v>
      </x:c>
      <x:c r="J181" t="str">
        <x:f>Ativos!U181</x:f>
        <x:v>Sem data</x:v>
      </x:c>
      <x:c r="K181" s="3" t="n">
        <x:f>Ativos!R181</x:f>
        <x:v>0</x:v>
      </x:c>
    </x:row>
    <x:row r="182">
      <x:c r="A182" t="n">
        <x:f>Ativos!A182</x:f>
        <x:v>0</x:v>
      </x:c>
      <x:c r="B182" s="2" t="n">
        <x:f>Ativos!N182</x:f>
        <x:v>0</x:v>
      </x:c>
      <x:c r="C182" t="n">
        <x:f>Ativos!O182</x:f>
        <x:v>0</x:v>
      </x:c>
      <x:c r="D182" t="n">
        <x:f>Ativos!P182</x:f>
        <x:v>0</x:v>
      </x:c>
      <x:c r="E182" t="n">
        <x:f>Ativos!C182</x:f>
        <x:v>0</x:v>
      </x:c>
      <x:c r="F182" t="n">
        <x:f>Ativos!E182</x:f>
        <x:v>0</x:v>
      </x:c>
      <x:c r="G182" t="n">
        <x:f>Ativos!G182</x:f>
        <x:v>0</x:v>
      </x:c>
      <x:c r="H182" t="n">
        <x:f>Ativos!I182</x:f>
        <x:v>0</x:v>
      </x:c>
      <x:c r="I182" t="n">
        <x:f>Ativos!S182</x:f>
        <x:v>0</x:v>
      </x:c>
      <x:c r="J182" t="str">
        <x:f>Ativos!U182</x:f>
        <x:v>Sem data</x:v>
      </x:c>
      <x:c r="K182" s="3" t="n">
        <x:f>Ativos!R182</x:f>
        <x:v>0</x:v>
      </x:c>
    </x:row>
    <x:row r="183">
      <x:c r="A183" t="n">
        <x:f>Ativos!A183</x:f>
        <x:v>0</x:v>
      </x:c>
      <x:c r="B183" s="2" t="n">
        <x:f>Ativos!N183</x:f>
        <x:v>0</x:v>
      </x:c>
      <x:c r="C183" t="n">
        <x:f>Ativos!O183</x:f>
        <x:v>0</x:v>
      </x:c>
      <x:c r="D183" t="n">
        <x:f>Ativos!P183</x:f>
        <x:v>0</x:v>
      </x:c>
      <x:c r="E183" t="n">
        <x:f>Ativos!C183</x:f>
        <x:v>0</x:v>
      </x:c>
      <x:c r="F183" t="n">
        <x:f>Ativos!E183</x:f>
        <x:v>0</x:v>
      </x:c>
      <x:c r="G183" t="n">
        <x:f>Ativos!G183</x:f>
        <x:v>0</x:v>
      </x:c>
      <x:c r="H183" t="n">
        <x:f>Ativos!I183</x:f>
        <x:v>0</x:v>
      </x:c>
      <x:c r="I183" t="n">
        <x:f>Ativos!S183</x:f>
        <x:v>0</x:v>
      </x:c>
      <x:c r="J183" t="str">
        <x:f>Ativos!U183</x:f>
        <x:v>Sem data</x:v>
      </x:c>
      <x:c r="K183" s="3" t="n">
        <x:f>Ativos!R183</x:f>
        <x:v>0</x:v>
      </x:c>
    </x:row>
    <x:row r="184">
      <x:c r="A184" t="n">
        <x:f>Ativos!A184</x:f>
        <x:v>0</x:v>
      </x:c>
      <x:c r="B184" s="2" t="n">
        <x:f>Ativos!N184</x:f>
        <x:v>0</x:v>
      </x:c>
      <x:c r="C184" t="n">
        <x:f>Ativos!O184</x:f>
        <x:v>0</x:v>
      </x:c>
      <x:c r="D184" t="n">
        <x:f>Ativos!P184</x:f>
        <x:v>0</x:v>
      </x:c>
      <x:c r="E184" t="n">
        <x:f>Ativos!C184</x:f>
        <x:v>0</x:v>
      </x:c>
      <x:c r="F184" t="n">
        <x:f>Ativos!E184</x:f>
        <x:v>0</x:v>
      </x:c>
      <x:c r="G184" t="n">
        <x:f>Ativos!G184</x:f>
        <x:v>0</x:v>
      </x:c>
      <x:c r="H184" t="n">
        <x:f>Ativos!I184</x:f>
        <x:v>0</x:v>
      </x:c>
      <x:c r="I184" t="n">
        <x:f>Ativos!S184</x:f>
        <x:v>0</x:v>
      </x:c>
      <x:c r="J184" t="str">
        <x:f>Ativos!U184</x:f>
        <x:v>Sem data</x:v>
      </x:c>
      <x:c r="K184" s="3" t="n">
        <x:f>Ativos!R184</x:f>
        <x:v>0</x:v>
      </x:c>
    </x:row>
    <x:row r="185">
      <x:c r="A185" t="n">
        <x:f>Ativos!A185</x:f>
        <x:v>0</x:v>
      </x:c>
      <x:c r="B185" s="2" t="n">
        <x:f>Ativos!N185</x:f>
        <x:v>0</x:v>
      </x:c>
      <x:c r="C185" t="n">
        <x:f>Ativos!O185</x:f>
        <x:v>0</x:v>
      </x:c>
      <x:c r="D185" t="n">
        <x:f>Ativos!P185</x:f>
        <x:v>0</x:v>
      </x:c>
      <x:c r="E185" t="n">
        <x:f>Ativos!C185</x:f>
        <x:v>0</x:v>
      </x:c>
      <x:c r="F185" t="n">
        <x:f>Ativos!E185</x:f>
        <x:v>0</x:v>
      </x:c>
      <x:c r="G185" t="n">
        <x:f>Ativos!G185</x:f>
        <x:v>0</x:v>
      </x:c>
      <x:c r="H185" t="n">
        <x:f>Ativos!I185</x:f>
        <x:v>0</x:v>
      </x:c>
      <x:c r="I185" t="n">
        <x:f>Ativos!S185</x:f>
        <x:v>0</x:v>
      </x:c>
      <x:c r="J185" t="str">
        <x:f>Ativos!U185</x:f>
        <x:v>Sem data</x:v>
      </x:c>
      <x:c r="K185" s="3" t="n">
        <x:f>Ativos!R185</x:f>
        <x:v>0</x:v>
      </x:c>
    </x:row>
    <x:row r="186">
      <x:c r="A186" t="n">
        <x:f>Ativos!A186</x:f>
        <x:v>0</x:v>
      </x:c>
      <x:c r="B186" s="2" t="n">
        <x:f>Ativos!N186</x:f>
        <x:v>0</x:v>
      </x:c>
      <x:c r="C186" t="n">
        <x:f>Ativos!O186</x:f>
        <x:v>0</x:v>
      </x:c>
      <x:c r="D186" t="n">
        <x:f>Ativos!P186</x:f>
        <x:v>0</x:v>
      </x:c>
      <x:c r="E186" t="n">
        <x:f>Ativos!C186</x:f>
        <x:v>0</x:v>
      </x:c>
      <x:c r="F186" t="n">
        <x:f>Ativos!E186</x:f>
        <x:v>0</x:v>
      </x:c>
      <x:c r="G186" t="n">
        <x:f>Ativos!G186</x:f>
        <x:v>0</x:v>
      </x:c>
      <x:c r="H186" t="n">
        <x:f>Ativos!I186</x:f>
        <x:v>0</x:v>
      </x:c>
      <x:c r="I186" t="n">
        <x:f>Ativos!S186</x:f>
        <x:v>0</x:v>
      </x:c>
      <x:c r="J186" t="str">
        <x:f>Ativos!U186</x:f>
        <x:v>Sem data</x:v>
      </x:c>
      <x:c r="K186" s="3" t="n">
        <x:f>Ativos!R186</x:f>
        <x:v>0</x:v>
      </x:c>
    </x:row>
    <x:row r="187">
      <x:c r="A187" t="n">
        <x:f>Ativos!A187</x:f>
        <x:v>0</x:v>
      </x:c>
      <x:c r="B187" s="2" t="n">
        <x:f>Ativos!N187</x:f>
        <x:v>0</x:v>
      </x:c>
      <x:c r="C187" t="n">
        <x:f>Ativos!O187</x:f>
        <x:v>0</x:v>
      </x:c>
      <x:c r="D187" t="n">
        <x:f>Ativos!P187</x:f>
        <x:v>0</x:v>
      </x:c>
      <x:c r="E187" t="n">
        <x:f>Ativos!C187</x:f>
        <x:v>0</x:v>
      </x:c>
      <x:c r="F187" t="n">
        <x:f>Ativos!E187</x:f>
        <x:v>0</x:v>
      </x:c>
      <x:c r="G187" t="n">
        <x:f>Ativos!G187</x:f>
        <x:v>0</x:v>
      </x:c>
      <x:c r="H187" t="n">
        <x:f>Ativos!I187</x:f>
        <x:v>0</x:v>
      </x:c>
      <x:c r="I187" t="n">
        <x:f>Ativos!S187</x:f>
        <x:v>0</x:v>
      </x:c>
      <x:c r="J187" t="str">
        <x:f>Ativos!U187</x:f>
        <x:v>Sem data</x:v>
      </x:c>
      <x:c r="K187" s="3" t="n">
        <x:f>Ativos!R187</x:f>
        <x:v>0</x:v>
      </x:c>
    </x:row>
    <x:row r="188">
      <x:c r="A188" t="n">
        <x:f>Ativos!A188</x:f>
        <x:v>0</x:v>
      </x:c>
      <x:c r="B188" s="2" t="n">
        <x:f>Ativos!N188</x:f>
        <x:v>0</x:v>
      </x:c>
      <x:c r="C188" t="n">
        <x:f>Ativos!O188</x:f>
        <x:v>0</x:v>
      </x:c>
      <x:c r="D188" t="n">
        <x:f>Ativos!P188</x:f>
        <x:v>0</x:v>
      </x:c>
      <x:c r="E188" t="n">
        <x:f>Ativos!C188</x:f>
        <x:v>0</x:v>
      </x:c>
      <x:c r="F188" t="n">
        <x:f>Ativos!E188</x:f>
        <x:v>0</x:v>
      </x:c>
      <x:c r="G188" t="n">
        <x:f>Ativos!G188</x:f>
        <x:v>0</x:v>
      </x:c>
      <x:c r="H188" t="n">
        <x:f>Ativos!I188</x:f>
        <x:v>0</x:v>
      </x:c>
      <x:c r="I188" t="n">
        <x:f>Ativos!S188</x:f>
        <x:v>0</x:v>
      </x:c>
      <x:c r="J188" t="str">
        <x:f>Ativos!U188</x:f>
        <x:v>Sem data</x:v>
      </x:c>
      <x:c r="K188" s="3" t="n">
        <x:f>Ativos!R188</x:f>
        <x:v>0</x:v>
      </x:c>
    </x:row>
    <x:row r="189">
      <x:c r="A189" t="n">
        <x:f>Ativos!A189</x:f>
        <x:v>0</x:v>
      </x:c>
      <x:c r="B189" s="2" t="n">
        <x:f>Ativos!N189</x:f>
        <x:v>0</x:v>
      </x:c>
      <x:c r="C189" t="n">
        <x:f>Ativos!O189</x:f>
        <x:v>0</x:v>
      </x:c>
      <x:c r="D189" t="n">
        <x:f>Ativos!P189</x:f>
        <x:v>0</x:v>
      </x:c>
      <x:c r="E189" t="n">
        <x:f>Ativos!C189</x:f>
        <x:v>0</x:v>
      </x:c>
      <x:c r="F189" t="n">
        <x:f>Ativos!E189</x:f>
        <x:v>0</x:v>
      </x:c>
      <x:c r="G189" t="n">
        <x:f>Ativos!G189</x:f>
        <x:v>0</x:v>
      </x:c>
      <x:c r="H189" t="n">
        <x:f>Ativos!I189</x:f>
        <x:v>0</x:v>
      </x:c>
      <x:c r="I189" t="n">
        <x:f>Ativos!S189</x:f>
        <x:v>0</x:v>
      </x:c>
      <x:c r="J189" t="str">
        <x:f>Ativos!U189</x:f>
        <x:v>Sem data</x:v>
      </x:c>
      <x:c r="K189" s="3" t="n">
        <x:f>Ativos!R189</x:f>
        <x:v>0</x:v>
      </x:c>
    </x:row>
    <x:row r="190">
      <x:c r="A190" t="n">
        <x:f>Ativos!A190</x:f>
        <x:v>0</x:v>
      </x:c>
      <x:c r="B190" s="2" t="n">
        <x:f>Ativos!N190</x:f>
        <x:v>0</x:v>
      </x:c>
      <x:c r="C190" t="n">
        <x:f>Ativos!O190</x:f>
        <x:v>0</x:v>
      </x:c>
      <x:c r="D190" t="n">
        <x:f>Ativos!P190</x:f>
        <x:v>0</x:v>
      </x:c>
      <x:c r="E190" t="n">
        <x:f>Ativos!C190</x:f>
        <x:v>0</x:v>
      </x:c>
      <x:c r="F190" t="n">
        <x:f>Ativos!E190</x:f>
        <x:v>0</x:v>
      </x:c>
      <x:c r="G190" t="n">
        <x:f>Ativos!G190</x:f>
        <x:v>0</x:v>
      </x:c>
      <x:c r="H190" t="n">
        <x:f>Ativos!I190</x:f>
        <x:v>0</x:v>
      </x:c>
      <x:c r="I190" t="n">
        <x:f>Ativos!S190</x:f>
        <x:v>0</x:v>
      </x:c>
      <x:c r="J190" t="str">
        <x:f>Ativos!U190</x:f>
        <x:v>Sem data</x:v>
      </x:c>
      <x:c r="K190" s="3" t="n">
        <x:f>Ativos!R190</x:f>
        <x:v>0</x:v>
      </x:c>
    </x:row>
    <x:row r="191">
      <x:c r="A191" t="n">
        <x:f>Ativos!A191</x:f>
        <x:v>0</x:v>
      </x:c>
      <x:c r="B191" s="2" t="n">
        <x:f>Ativos!N191</x:f>
        <x:v>0</x:v>
      </x:c>
      <x:c r="C191" t="n">
        <x:f>Ativos!O191</x:f>
        <x:v>0</x:v>
      </x:c>
      <x:c r="D191" t="n">
        <x:f>Ativos!P191</x:f>
        <x:v>0</x:v>
      </x:c>
      <x:c r="E191" t="n">
        <x:f>Ativos!C191</x:f>
        <x:v>0</x:v>
      </x:c>
      <x:c r="F191" t="n">
        <x:f>Ativos!E191</x:f>
        <x:v>0</x:v>
      </x:c>
      <x:c r="G191" t="n">
        <x:f>Ativos!G191</x:f>
        <x:v>0</x:v>
      </x:c>
      <x:c r="H191" t="n">
        <x:f>Ativos!I191</x:f>
        <x:v>0</x:v>
      </x:c>
      <x:c r="I191" t="n">
        <x:f>Ativos!S191</x:f>
        <x:v>0</x:v>
      </x:c>
      <x:c r="J191" t="str">
        <x:f>Ativos!U191</x:f>
        <x:v>Sem data</x:v>
      </x:c>
      <x:c r="K191" s="3" t="n">
        <x:f>Ativos!R191</x:f>
        <x:v>0</x:v>
      </x:c>
    </x:row>
    <x:row r="192">
      <x:c r="A192" t="n">
        <x:f>Ativos!A192</x:f>
        <x:v>0</x:v>
      </x:c>
      <x:c r="B192" s="2" t="n">
        <x:f>Ativos!N192</x:f>
        <x:v>0</x:v>
      </x:c>
      <x:c r="C192" t="n">
        <x:f>Ativos!O192</x:f>
        <x:v>0</x:v>
      </x:c>
      <x:c r="D192" t="n">
        <x:f>Ativos!P192</x:f>
        <x:v>0</x:v>
      </x:c>
      <x:c r="E192" t="n">
        <x:f>Ativos!C192</x:f>
        <x:v>0</x:v>
      </x:c>
      <x:c r="F192" t="n">
        <x:f>Ativos!E192</x:f>
        <x:v>0</x:v>
      </x:c>
      <x:c r="G192" t="n">
        <x:f>Ativos!G192</x:f>
        <x:v>0</x:v>
      </x:c>
      <x:c r="H192" t="n">
        <x:f>Ativos!I192</x:f>
        <x:v>0</x:v>
      </x:c>
      <x:c r="I192" t="n">
        <x:f>Ativos!S192</x:f>
        <x:v>0</x:v>
      </x:c>
      <x:c r="J192" t="str">
        <x:f>Ativos!U192</x:f>
        <x:v>Sem data</x:v>
      </x:c>
      <x:c r="K192" s="3" t="n">
        <x:f>Ativos!R192</x:f>
        <x:v>0</x:v>
      </x:c>
    </x:row>
    <x:row r="193">
      <x:c r="A193" t="n">
        <x:f>Ativos!A193</x:f>
        <x:v>0</x:v>
      </x:c>
      <x:c r="B193" s="2" t="n">
        <x:f>Ativos!N193</x:f>
        <x:v>0</x:v>
      </x:c>
      <x:c r="C193" t="n">
        <x:f>Ativos!O193</x:f>
        <x:v>0</x:v>
      </x:c>
      <x:c r="D193" t="n">
        <x:f>Ativos!P193</x:f>
        <x:v>0</x:v>
      </x:c>
      <x:c r="E193" t="n">
        <x:f>Ativos!C193</x:f>
        <x:v>0</x:v>
      </x:c>
      <x:c r="F193" t="n">
        <x:f>Ativos!E193</x:f>
        <x:v>0</x:v>
      </x:c>
      <x:c r="G193" t="n">
        <x:f>Ativos!G193</x:f>
        <x:v>0</x:v>
      </x:c>
      <x:c r="H193" t="n">
        <x:f>Ativos!I193</x:f>
        <x:v>0</x:v>
      </x:c>
      <x:c r="I193" t="n">
        <x:f>Ativos!S193</x:f>
        <x:v>0</x:v>
      </x:c>
      <x:c r="J193" t="str">
        <x:f>Ativos!U193</x:f>
        <x:v>Sem data</x:v>
      </x:c>
      <x:c r="K193" s="3" t="n">
        <x:f>Ativos!R193</x:f>
        <x:v>0</x:v>
      </x:c>
    </x:row>
    <x:row r="194">
      <x:c r="A194" t="n">
        <x:f>Ativos!A194</x:f>
        <x:v>0</x:v>
      </x:c>
      <x:c r="B194" s="2" t="n">
        <x:f>Ativos!N194</x:f>
        <x:v>0</x:v>
      </x:c>
      <x:c r="C194" t="n">
        <x:f>Ativos!O194</x:f>
        <x:v>0</x:v>
      </x:c>
      <x:c r="D194" t="n">
        <x:f>Ativos!P194</x:f>
        <x:v>0</x:v>
      </x:c>
      <x:c r="E194" t="n">
        <x:f>Ativos!C194</x:f>
        <x:v>0</x:v>
      </x:c>
      <x:c r="F194" t="n">
        <x:f>Ativos!E194</x:f>
        <x:v>0</x:v>
      </x:c>
      <x:c r="G194" t="n">
        <x:f>Ativos!G194</x:f>
        <x:v>0</x:v>
      </x:c>
      <x:c r="H194" t="n">
        <x:f>Ativos!I194</x:f>
        <x:v>0</x:v>
      </x:c>
      <x:c r="I194" t="n">
        <x:f>Ativos!S194</x:f>
        <x:v>0</x:v>
      </x:c>
      <x:c r="J194" t="str">
        <x:f>Ativos!U194</x:f>
        <x:v>Sem data</x:v>
      </x:c>
      <x:c r="K194" s="3" t="n">
        <x:f>Ativos!R194</x:f>
        <x:v>0</x:v>
      </x:c>
    </x:row>
    <x:row r="195">
      <x:c r="A195" t="n">
        <x:f>Ativos!A195</x:f>
        <x:v>0</x:v>
      </x:c>
      <x:c r="B195" s="2" t="n">
        <x:f>Ativos!N195</x:f>
        <x:v>0</x:v>
      </x:c>
      <x:c r="C195" t="n">
        <x:f>Ativos!O195</x:f>
        <x:v>0</x:v>
      </x:c>
      <x:c r="D195" t="n">
        <x:f>Ativos!P195</x:f>
        <x:v>0</x:v>
      </x:c>
      <x:c r="E195" t="n">
        <x:f>Ativos!C195</x:f>
        <x:v>0</x:v>
      </x:c>
      <x:c r="F195" t="n">
        <x:f>Ativos!E195</x:f>
        <x:v>0</x:v>
      </x:c>
      <x:c r="G195" t="n">
        <x:f>Ativos!G195</x:f>
        <x:v>0</x:v>
      </x:c>
      <x:c r="H195" t="n">
        <x:f>Ativos!I195</x:f>
        <x:v>0</x:v>
      </x:c>
      <x:c r="I195" t="n">
        <x:f>Ativos!S195</x:f>
        <x:v>0</x:v>
      </x:c>
      <x:c r="J195" t="str">
        <x:f>Ativos!U195</x:f>
        <x:v>Sem data</x:v>
      </x:c>
      <x:c r="K195" s="3" t="n">
        <x:f>Ativos!R195</x:f>
        <x:v>0</x:v>
      </x:c>
    </x:row>
    <x:row r="196">
      <x:c r="A196" t="n">
        <x:f>Ativos!A196</x:f>
        <x:v>0</x:v>
      </x:c>
      <x:c r="B196" s="2" t="n">
        <x:f>Ativos!N196</x:f>
        <x:v>0</x:v>
      </x:c>
      <x:c r="C196" t="n">
        <x:f>Ativos!O196</x:f>
        <x:v>0</x:v>
      </x:c>
      <x:c r="D196" t="n">
        <x:f>Ativos!P196</x:f>
        <x:v>0</x:v>
      </x:c>
      <x:c r="E196" t="n">
        <x:f>Ativos!C196</x:f>
        <x:v>0</x:v>
      </x:c>
      <x:c r="F196" t="n">
        <x:f>Ativos!E196</x:f>
        <x:v>0</x:v>
      </x:c>
      <x:c r="G196" t="n">
        <x:f>Ativos!G196</x:f>
        <x:v>0</x:v>
      </x:c>
      <x:c r="H196" t="n">
        <x:f>Ativos!I196</x:f>
        <x:v>0</x:v>
      </x:c>
      <x:c r="I196" t="n">
        <x:f>Ativos!S196</x:f>
        <x:v>0</x:v>
      </x:c>
      <x:c r="J196" t="str">
        <x:f>Ativos!U196</x:f>
        <x:v>Sem data</x:v>
      </x:c>
      <x:c r="K196" s="3" t="n">
        <x:f>Ativos!R196</x:f>
        <x:v>0</x:v>
      </x:c>
    </x:row>
    <x:row r="197">
      <x:c r="A197" t="n">
        <x:f>Ativos!A197</x:f>
        <x:v>0</x:v>
      </x:c>
      <x:c r="B197" s="2" t="n">
        <x:f>Ativos!N197</x:f>
        <x:v>0</x:v>
      </x:c>
      <x:c r="C197" t="n">
        <x:f>Ativos!O197</x:f>
        <x:v>0</x:v>
      </x:c>
      <x:c r="D197" t="n">
        <x:f>Ativos!P197</x:f>
        <x:v>0</x:v>
      </x:c>
      <x:c r="E197" t="n">
        <x:f>Ativos!C197</x:f>
        <x:v>0</x:v>
      </x:c>
      <x:c r="F197" t="n">
        <x:f>Ativos!E197</x:f>
        <x:v>0</x:v>
      </x:c>
      <x:c r="G197" t="n">
        <x:f>Ativos!G197</x:f>
        <x:v>0</x:v>
      </x:c>
      <x:c r="H197" t="n">
        <x:f>Ativos!I197</x:f>
        <x:v>0</x:v>
      </x:c>
      <x:c r="I197" t="n">
        <x:f>Ativos!S197</x:f>
        <x:v>0</x:v>
      </x:c>
      <x:c r="J197" t="str">
        <x:f>Ativos!U197</x:f>
        <x:v>Sem data</x:v>
      </x:c>
      <x:c r="K197" s="3" t="n">
        <x:f>Ativos!R197</x:f>
        <x:v>0</x:v>
      </x:c>
    </x:row>
    <x:row r="198">
      <x:c r="A198" t="n">
        <x:f>Ativos!A198</x:f>
        <x:v>0</x:v>
      </x:c>
      <x:c r="B198" s="2" t="n">
        <x:f>Ativos!N198</x:f>
        <x:v>0</x:v>
      </x:c>
      <x:c r="C198" t="n">
        <x:f>Ativos!O198</x:f>
        <x:v>0</x:v>
      </x:c>
      <x:c r="D198" t="n">
        <x:f>Ativos!P198</x:f>
        <x:v>0</x:v>
      </x:c>
      <x:c r="E198" t="n">
        <x:f>Ativos!C198</x:f>
        <x:v>0</x:v>
      </x:c>
      <x:c r="F198" t="n">
        <x:f>Ativos!E198</x:f>
        <x:v>0</x:v>
      </x:c>
      <x:c r="G198" t="n">
        <x:f>Ativos!G198</x:f>
        <x:v>0</x:v>
      </x:c>
      <x:c r="H198" t="n">
        <x:f>Ativos!I198</x:f>
        <x:v>0</x:v>
      </x:c>
      <x:c r="I198" t="n">
        <x:f>Ativos!S198</x:f>
        <x:v>0</x:v>
      </x:c>
      <x:c r="J198" t="str">
        <x:f>Ativos!U198</x:f>
        <x:v>Sem data</x:v>
      </x:c>
      <x:c r="K198" s="3" t="n">
        <x:f>Ativos!R198</x:f>
        <x:v>0</x:v>
      </x:c>
    </x:row>
    <x:row r="199">
      <x:c r="A199" t="n">
        <x:f>Ativos!A199</x:f>
        <x:v>0</x:v>
      </x:c>
      <x:c r="B199" s="2" t="n">
        <x:f>Ativos!N199</x:f>
        <x:v>0</x:v>
      </x:c>
      <x:c r="C199" t="n">
        <x:f>Ativos!O199</x:f>
        <x:v>0</x:v>
      </x:c>
      <x:c r="D199" t="n">
        <x:f>Ativos!P199</x:f>
        <x:v>0</x:v>
      </x:c>
      <x:c r="E199" t="n">
        <x:f>Ativos!C199</x:f>
        <x:v>0</x:v>
      </x:c>
      <x:c r="F199" t="n">
        <x:f>Ativos!E199</x:f>
        <x:v>0</x:v>
      </x:c>
      <x:c r="G199" t="n">
        <x:f>Ativos!G199</x:f>
        <x:v>0</x:v>
      </x:c>
      <x:c r="H199" t="n">
        <x:f>Ativos!I199</x:f>
        <x:v>0</x:v>
      </x:c>
      <x:c r="I199" t="n">
        <x:f>Ativos!S199</x:f>
        <x:v>0</x:v>
      </x:c>
      <x:c r="J199" t="str">
        <x:f>Ativos!U199</x:f>
        <x:v>Sem data</x:v>
      </x:c>
      <x:c r="K199" s="3" t="n">
        <x:f>Ativos!R199</x:f>
        <x:v>0</x:v>
      </x:c>
    </x:row>
    <x:row r="200">
      <x:c r="A200" t="n">
        <x:f>Ativos!A200</x:f>
        <x:v>0</x:v>
      </x:c>
      <x:c r="B200" s="2" t="n">
        <x:f>Ativos!N200</x:f>
        <x:v>0</x:v>
      </x:c>
      <x:c r="C200" t="n">
        <x:f>Ativos!O200</x:f>
        <x:v>0</x:v>
      </x:c>
      <x:c r="D200" t="n">
        <x:f>Ativos!P200</x:f>
        <x:v>0</x:v>
      </x:c>
      <x:c r="E200" t="n">
        <x:f>Ativos!C200</x:f>
        <x:v>0</x:v>
      </x:c>
      <x:c r="F200" t="n">
        <x:f>Ativos!E200</x:f>
        <x:v>0</x:v>
      </x:c>
      <x:c r="G200" t="n">
        <x:f>Ativos!G200</x:f>
        <x:v>0</x:v>
      </x:c>
      <x:c r="H200" t="n">
        <x:f>Ativos!I200</x:f>
        <x:v>0</x:v>
      </x:c>
      <x:c r="I200" t="n">
        <x:f>Ativos!S200</x:f>
        <x:v>0</x:v>
      </x:c>
      <x:c r="J200" t="str">
        <x:f>Ativos!U200</x:f>
        <x:v>Sem data</x:v>
      </x:c>
      <x:c r="K200" s="3" t="n">
        <x:f>Ativos!R200</x:f>
        <x:v>0</x:v>
      </x:c>
    </x:row>
  </x:sheetData>
  <x:conditionalFormatting sqref="J2:J200">
    <x:cfRule type="expression" dxfId="2" priority="1">
      <x:formula>J2="Vencido"</x:formula>
    </x:cfRule>
    <x:cfRule type="expression" dxfId="1" priority="2">
      <x:formula>J2="Próx. 30 dias"</x:formula>
    </x:cfRule>
    <x:cfRule type="expression" dxfId="0" priority="3">
      <x:formula>J2="Próx. 90 dias"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6c88bb0d6be4645"/>
  </x:tableParts>
</x:worksheet>
</file>

<file path=xl/worksheets/sheet8.xml><?xml version="1.0" encoding="utf-8"?>
<x:worksheet xmlns:x="http://schemas.openxmlformats.org/spreadsheetml/2006/main">
  <x:sheetFormatPr defaultRowHeight="14.25"/>
  <x:cols>
    <x:col min="1" max="1" width="8.5" customWidth="1"/>
    <x:col min="3" max="3" width="11.125" customWidth="1"/>
    <x:col min="5" max="5" width="6.875" customWidth="1"/>
    <x:col min="7" max="7" width="14.25" customWidth="1"/>
    <x:col min="9" max="9" width="17.875" customWidth="1"/>
    <x:col min="11" max="11" width="10.125" customWidth="1"/>
  </x:cols>
  <x:sheetData>
    <x:row r="1" ht="30">
      <x:c r="A1" s="1" t="s">
        <x:v>79</x:v>
      </x:c>
      <x:c r="B1" s="1"/>
      <x:c r="C1" s="1" t="s">
        <x:v>80</x:v>
      </x:c>
      <x:c r="D1" s="1"/>
      <x:c r="E1" s="1" t="s">
        <x:v>72</x:v>
      </x:c>
      <x:c r="F1" s="1"/>
      <x:c r="G1" s="1" t="s">
        <x:v>6</x:v>
      </x:c>
      <x:c r="H1" s="1"/>
      <x:c r="I1" s="1" t="s">
        <x:v>8</x:v>
      </x:c>
      <x:c r="J1" s="1"/>
      <x:c r="K1" s="1" t="s">
        <x:v>81</x:v>
      </x:c>
    </x:row>
    <x:row r="2">
      <x:c r="A2" t="s">
        <x:v>99</x:v>
      </x:c>
      <x:c r="C2" t="s">
        <x:v>92</x:v>
      </x:c>
      <x:c r="E2" t="s">
        <x:v>90</x:v>
      </x:c>
      <x:c r="G2" t="str" cm="1">
        <x:f t="array" ref="G2:G14">_xlfn._xlws.SORT(_xlfn.UNIQUE(_xlfn._xlws.FILTER(TabelaSistemas[Sistema],TabelaSistemas[Sistema]&lt;&gt;"")))</x:f>
        <x:v>Climatização</x:v>
      </x:c>
      <x:c r="I2" t="str" cm="1">
        <x:f t="array" ref="I2:I18">_xlfn._xlws.SORT(_xlfn.UNIQUE(_xlfn._xlws.FILTER(TabelaAmbientes[Ambiente],TabelaAmbientes[Ambiente]&lt;&gt;"")))</x:f>
        <x:v>Área de serviço</x:v>
      </x:c>
      <x:c r="K2" t="s">
        <x:v>221</x:v>
      </x:c>
    </x:row>
    <x:row r="3">
      <x:c r="A3" t="s">
        <x:v>91</x:v>
      </x:c>
      <x:c r="C3" t="s">
        <x:v>110</x:v>
      </x:c>
      <x:c r="E3" t="s">
        <x:v>126</x:v>
      </x:c>
      <x:c r="G3" t="str">
        <x:v>Drenagem</x:v>
      </x:c>
      <x:c r="I3" t="str">
        <x:v>Banheiro dependência</x:v>
      </x:c>
      <x:c r="K3" t="s">
        <x:v>222</x:v>
      </x:c>
    </x:row>
    <x:row r="4">
      <x:c r="A4" t="s">
        <x:v>109</x:v>
      </x:c>
      <x:c r="C4" t="s">
        <x:v>223</x:v>
      </x:c>
      <x:c r="E4" t="s">
        <x:v>137</x:v>
      </x:c>
      <x:c r="G4" t="str">
        <x:v>Elétrico</x:v>
      </x:c>
      <x:c r="I4" t="str">
        <x:v>Banheiro suíte 1</x:v>
      </x:c>
      <x:c r="K4" t="s">
        <x:v>224</x:v>
      </x:c>
    </x:row>
    <x:row r="5">
      <x:c r="A5" t="s">
        <x:v>225</x:v>
      </x:c>
      <x:c r="C5" t="s">
        <x:v>226</x:v>
      </x:c>
      <x:c r="E5" t="s">
        <x:v>227</x:v>
      </x:c>
      <x:c r="G5" t="str">
        <x:v>Esgoto</x:v>
      </x:c>
      <x:c r="I5" t="str">
        <x:v>Banheiro suíte 2</x:v>
      </x:c>
      <x:c r="K5" t="s">
        <x:v>228</x:v>
      </x:c>
    </x:row>
    <x:row r="6">
      <x:c r="E6" t="s">
        <x:v>229</x:v>
      </x:c>
      <x:c r="G6" t="str">
        <x:v>Esquadrias</x:v>
      </x:c>
      <x:c r="I6" t="str">
        <x:v>Banheiro suíte 3</x:v>
      </x:c>
      <x:c r="K6" t="s">
        <x:v>230</x:v>
      </x:c>
    </x:row>
    <x:row r="7">
      <x:c r="E7" t="s">
        <x:v>231</x:v>
      </x:c>
      <x:c r="G7" t="str">
        <x:v>Gás</x:v>
      </x:c>
      <x:c r="I7" t="str">
        <x:v>Copa/cozinha</x:v>
      </x:c>
    </x:row>
    <x:row r="8">
      <x:c r="G8" t="str">
        <x:v>Hidráulico</x:v>
      </x:c>
      <x:c r="I8" t="str">
        <x:v>Escritório 1</x:v>
      </x:c>
    </x:row>
    <x:row r="9">
      <x:c r="G9" t="str">
        <x:v>Iluminação</x:v>
      </x:c>
      <x:c r="I9" t="str">
        <x:v>Escritório 2</x:v>
      </x:c>
    </x:row>
    <x:row r="10">
      <x:c r="G10" t="str">
        <x:v>Marcenaria</x:v>
      </x:c>
      <x:c r="I10" t="str">
        <x:v>Externo</x:v>
      </x:c>
    </x:row>
    <x:row r="11">
      <x:c r="G11" t="str">
        <x:v>Pintura</x:v>
      </x:c>
      <x:c r="I11" t="str">
        <x:v>Lavabo</x:v>
      </x:c>
    </x:row>
    <x:row r="12">
      <x:c r="G12" t="str">
        <x:v>Revestimentos</x:v>
      </x:c>
      <x:c r="I12" t="str">
        <x:v>Oficina</x:v>
      </x:c>
    </x:row>
    <x:row r="13">
      <x:c r="G13" t="str">
        <x:v>Segurança/acesso</x:v>
      </x:c>
      <x:c r="I13" t="str">
        <x:v>Sala</x:v>
      </x:c>
    </x:row>
    <x:row r="14">
      <x:c r="G14" t="n">
        <x:v>0</x:v>
      </x:c>
      <x:c r="I14" t="str">
        <x:v>Suíte 1</x:v>
      </x:c>
    </x:row>
    <x:row r="15">
      <x:c r="I15" t="str">
        <x:v>Suíte 2</x:v>
      </x:c>
    </x:row>
    <x:row r="16">
      <x:c r="I16" t="str">
        <x:v>Suíte 3</x:v>
      </x:c>
    </x:row>
    <x:row r="17">
      <x:c r="I17" t="str">
        <x:v>Suíte dependência</x:v>
      </x:c>
    </x:row>
    <x:row r="18">
      <x:c r="I18" t="str">
        <x:v>Varanda</x:v>
      </x:c>
    </x:row>
  </x:sheetData>
  <x:pageMargins left="0.7" right="0.7" top="0.75" bottom="0.75" header="0.3" footer="0.3"/>
</x:worksheet>
</file>
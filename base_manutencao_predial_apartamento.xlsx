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F6A3CF3B-D68E-459A-9793-103D56B057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Planilha1" sheetId="8" r:id="rId2"/>
    <sheet name="Ativos" sheetId="2" r:id="rId3"/>
    <sheet name="Ambientes" sheetId="3" r:id="rId4"/>
    <sheet name="Sistemas" sheetId="4" r:id="rId5"/>
    <sheet name="Rotinas" sheetId="5" r:id="rId6"/>
    <sheet name="Cronograma" sheetId="6" r:id="rId7"/>
    <sheet name="Listas" sheetId="7" r:id="rId8"/>
  </sheets>
  <definedNames>
    <definedName name="Sub">OFFSET(TabelaSistemas[[#Headers],[Subsistema]],MATCH(Ativos!$F1,TabelaSistemas[Sistema],0),0,COUNTIF(TabelaSistemas[Sistema],Ativos!$F1),1)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B15" i="1" a="1"/>
  <c r="B15" i="1" s="1"/>
  <c r="Z1" i="2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7" i="2" a="1"/>
  <c r="Y7" i="2" s="1"/>
  <c r="Y6" i="2" a="1"/>
  <c r="Y6" i="2" s="1"/>
  <c r="Y5" i="2" a="1"/>
  <c r="Y5" i="2" s="1"/>
  <c r="Y4" i="2" a="1"/>
  <c r="Y4" i="2" s="1"/>
  <c r="Y3" i="2" a="1"/>
  <c r="Y3" i="2" s="1"/>
  <c r="Y2" i="2" a="1"/>
  <c r="Y2" i="2" s="1"/>
  <c r="H35" i="8" a="1"/>
  <c r="H35" i="8" s="1"/>
  <c r="G36" i="8" s="1"/>
  <c r="E36" i="8"/>
  <c r="E28" i="8"/>
  <c r="E35" i="8"/>
  <c r="H34" i="8" a="1"/>
  <c r="H34" i="8" s="1"/>
  <c r="H30" i="8" a="1"/>
  <c r="H30" i="8" s="1"/>
  <c r="H28" i="8"/>
  <c r="H29" i="8"/>
  <c r="H32" i="8" a="1"/>
  <c r="H32" i="8" s="1"/>
  <c r="B16" i="2"/>
  <c r="D16" i="2"/>
  <c r="N16" i="2"/>
  <c r="O16" i="2" s="1"/>
  <c r="R16" i="2"/>
  <c r="K16" i="6" s="1"/>
  <c r="B28" i="1"/>
  <c r="B29" i="1"/>
  <c r="B30" i="1"/>
  <c r="B31" i="1"/>
  <c r="B32" i="1"/>
  <c r="B27" i="1"/>
  <c r="R17" i="2"/>
  <c r="K17" i="6" s="1"/>
  <c r="E17" i="8"/>
  <c r="E9" i="8" s="1"/>
  <c r="G17" i="8"/>
  <c r="G16" i="8"/>
  <c r="G15" i="8"/>
  <c r="G14" i="8"/>
  <c r="G13" i="8"/>
  <c r="G12" i="8"/>
  <c r="F12" i="8"/>
  <c r="F13" i="8"/>
  <c r="F14" i="8"/>
  <c r="F15" i="8"/>
  <c r="F16" i="8"/>
  <c r="H6" i="1"/>
  <c r="H10" i="1"/>
  <c r="H12" i="1"/>
  <c r="H15" i="1"/>
  <c r="H17" i="1"/>
  <c r="H19" i="1"/>
  <c r="E6" i="1"/>
  <c r="E12" i="1"/>
  <c r="E16" i="1"/>
  <c r="G7" i="4" a="1"/>
  <c r="G7" i="4" s="1"/>
  <c r="G8" i="4" a="1"/>
  <c r="G8" i="4" s="1"/>
  <c r="G5" i="4" a="1"/>
  <c r="G5" i="4" s="1"/>
  <c r="G2" i="4" a="1"/>
  <c r="G2" i="4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" i="2"/>
  <c r="I2" i="7" a="1"/>
  <c r="I2" i="7" s="1"/>
  <c r="G2" i="7" a="1"/>
  <c r="G2" i="7" s="1"/>
  <c r="I200" i="6"/>
  <c r="H200" i="6"/>
  <c r="G200" i="6"/>
  <c r="F200" i="6"/>
  <c r="E200" i="6"/>
  <c r="A200" i="6"/>
  <c r="I199" i="6"/>
  <c r="H199" i="6"/>
  <c r="G199" i="6"/>
  <c r="F199" i="6"/>
  <c r="E199" i="6"/>
  <c r="A199" i="6"/>
  <c r="I198" i="6"/>
  <c r="H198" i="6"/>
  <c r="G198" i="6"/>
  <c r="F198" i="6"/>
  <c r="E198" i="6"/>
  <c r="A198" i="6"/>
  <c r="I197" i="6"/>
  <c r="H197" i="6"/>
  <c r="G197" i="6"/>
  <c r="F197" i="6"/>
  <c r="E197" i="6"/>
  <c r="A197" i="6"/>
  <c r="I196" i="6"/>
  <c r="H196" i="6"/>
  <c r="G196" i="6"/>
  <c r="F196" i="6"/>
  <c r="E196" i="6"/>
  <c r="A196" i="6"/>
  <c r="I195" i="6"/>
  <c r="H195" i="6"/>
  <c r="G195" i="6"/>
  <c r="F195" i="6"/>
  <c r="E195" i="6"/>
  <c r="A195" i="6"/>
  <c r="I194" i="6"/>
  <c r="H194" i="6"/>
  <c r="G194" i="6"/>
  <c r="F194" i="6"/>
  <c r="E194" i="6"/>
  <c r="A194" i="6"/>
  <c r="I193" i="6"/>
  <c r="H193" i="6"/>
  <c r="G193" i="6"/>
  <c r="F193" i="6"/>
  <c r="E193" i="6"/>
  <c r="A193" i="6"/>
  <c r="I192" i="6"/>
  <c r="H192" i="6"/>
  <c r="G192" i="6"/>
  <c r="F192" i="6"/>
  <c r="E192" i="6"/>
  <c r="A192" i="6"/>
  <c r="I191" i="6"/>
  <c r="H191" i="6"/>
  <c r="G191" i="6"/>
  <c r="F191" i="6"/>
  <c r="E191" i="6"/>
  <c r="A191" i="6"/>
  <c r="I190" i="6"/>
  <c r="H190" i="6"/>
  <c r="G190" i="6"/>
  <c r="F190" i="6"/>
  <c r="E190" i="6"/>
  <c r="A190" i="6"/>
  <c r="I189" i="6"/>
  <c r="H189" i="6"/>
  <c r="G189" i="6"/>
  <c r="F189" i="6"/>
  <c r="E189" i="6"/>
  <c r="A189" i="6"/>
  <c r="I188" i="6"/>
  <c r="H188" i="6"/>
  <c r="G188" i="6"/>
  <c r="F188" i="6"/>
  <c r="E188" i="6"/>
  <c r="A188" i="6"/>
  <c r="I187" i="6"/>
  <c r="H187" i="6"/>
  <c r="G187" i="6"/>
  <c r="F187" i="6"/>
  <c r="E187" i="6"/>
  <c r="A187" i="6"/>
  <c r="I186" i="6"/>
  <c r="H186" i="6"/>
  <c r="G186" i="6"/>
  <c r="F186" i="6"/>
  <c r="E186" i="6"/>
  <c r="A186" i="6"/>
  <c r="I185" i="6"/>
  <c r="H185" i="6"/>
  <c r="G185" i="6"/>
  <c r="F185" i="6"/>
  <c r="E185" i="6"/>
  <c r="A185" i="6"/>
  <c r="I184" i="6"/>
  <c r="H184" i="6"/>
  <c r="G184" i="6"/>
  <c r="F184" i="6"/>
  <c r="E184" i="6"/>
  <c r="A184" i="6"/>
  <c r="I183" i="6"/>
  <c r="H183" i="6"/>
  <c r="G183" i="6"/>
  <c r="F183" i="6"/>
  <c r="E183" i="6"/>
  <c r="A183" i="6"/>
  <c r="I182" i="6"/>
  <c r="H182" i="6"/>
  <c r="G182" i="6"/>
  <c r="F182" i="6"/>
  <c r="E182" i="6"/>
  <c r="A182" i="6"/>
  <c r="I181" i="6"/>
  <c r="H181" i="6"/>
  <c r="G181" i="6"/>
  <c r="F181" i="6"/>
  <c r="E181" i="6"/>
  <c r="A181" i="6"/>
  <c r="I180" i="6"/>
  <c r="H180" i="6"/>
  <c r="G180" i="6"/>
  <c r="F180" i="6"/>
  <c r="E180" i="6"/>
  <c r="A180" i="6"/>
  <c r="I179" i="6"/>
  <c r="H179" i="6"/>
  <c r="G179" i="6"/>
  <c r="F179" i="6"/>
  <c r="E179" i="6"/>
  <c r="A179" i="6"/>
  <c r="I178" i="6"/>
  <c r="H178" i="6"/>
  <c r="G178" i="6"/>
  <c r="F178" i="6"/>
  <c r="E178" i="6"/>
  <c r="A178" i="6"/>
  <c r="I177" i="6"/>
  <c r="H177" i="6"/>
  <c r="G177" i="6"/>
  <c r="F177" i="6"/>
  <c r="E177" i="6"/>
  <c r="A177" i="6"/>
  <c r="I176" i="6"/>
  <c r="H176" i="6"/>
  <c r="G176" i="6"/>
  <c r="F176" i="6"/>
  <c r="E176" i="6"/>
  <c r="A176" i="6"/>
  <c r="I175" i="6"/>
  <c r="H175" i="6"/>
  <c r="G175" i="6"/>
  <c r="F175" i="6"/>
  <c r="E175" i="6"/>
  <c r="A175" i="6"/>
  <c r="I174" i="6"/>
  <c r="H174" i="6"/>
  <c r="G174" i="6"/>
  <c r="F174" i="6"/>
  <c r="E174" i="6"/>
  <c r="A174" i="6"/>
  <c r="I173" i="6"/>
  <c r="H173" i="6"/>
  <c r="G173" i="6"/>
  <c r="F173" i="6"/>
  <c r="E173" i="6"/>
  <c r="A173" i="6"/>
  <c r="I172" i="6"/>
  <c r="H172" i="6"/>
  <c r="G172" i="6"/>
  <c r="F172" i="6"/>
  <c r="E172" i="6"/>
  <c r="A172" i="6"/>
  <c r="I171" i="6"/>
  <c r="H171" i="6"/>
  <c r="G171" i="6"/>
  <c r="F171" i="6"/>
  <c r="E171" i="6"/>
  <c r="A171" i="6"/>
  <c r="I170" i="6"/>
  <c r="H170" i="6"/>
  <c r="G170" i="6"/>
  <c r="F170" i="6"/>
  <c r="E170" i="6"/>
  <c r="A170" i="6"/>
  <c r="I169" i="6"/>
  <c r="H169" i="6"/>
  <c r="G169" i="6"/>
  <c r="F169" i="6"/>
  <c r="E169" i="6"/>
  <c r="A169" i="6"/>
  <c r="I168" i="6"/>
  <c r="H168" i="6"/>
  <c r="G168" i="6"/>
  <c r="F168" i="6"/>
  <c r="E168" i="6"/>
  <c r="A168" i="6"/>
  <c r="I167" i="6"/>
  <c r="H167" i="6"/>
  <c r="G167" i="6"/>
  <c r="F167" i="6"/>
  <c r="E167" i="6"/>
  <c r="A167" i="6"/>
  <c r="I166" i="6"/>
  <c r="H166" i="6"/>
  <c r="G166" i="6"/>
  <c r="F166" i="6"/>
  <c r="E166" i="6"/>
  <c r="A166" i="6"/>
  <c r="I165" i="6"/>
  <c r="H165" i="6"/>
  <c r="G165" i="6"/>
  <c r="F165" i="6"/>
  <c r="E165" i="6"/>
  <c r="A165" i="6"/>
  <c r="I164" i="6"/>
  <c r="H164" i="6"/>
  <c r="G164" i="6"/>
  <c r="F164" i="6"/>
  <c r="E164" i="6"/>
  <c r="A164" i="6"/>
  <c r="I163" i="6"/>
  <c r="H163" i="6"/>
  <c r="G163" i="6"/>
  <c r="F163" i="6"/>
  <c r="E163" i="6"/>
  <c r="A163" i="6"/>
  <c r="I162" i="6"/>
  <c r="H162" i="6"/>
  <c r="G162" i="6"/>
  <c r="F162" i="6"/>
  <c r="E162" i="6"/>
  <c r="A162" i="6"/>
  <c r="I161" i="6"/>
  <c r="H161" i="6"/>
  <c r="G161" i="6"/>
  <c r="F161" i="6"/>
  <c r="E161" i="6"/>
  <c r="A161" i="6"/>
  <c r="I160" i="6"/>
  <c r="H160" i="6"/>
  <c r="G160" i="6"/>
  <c r="F160" i="6"/>
  <c r="E160" i="6"/>
  <c r="A160" i="6"/>
  <c r="I159" i="6"/>
  <c r="H159" i="6"/>
  <c r="G159" i="6"/>
  <c r="F159" i="6"/>
  <c r="E159" i="6"/>
  <c r="A159" i="6"/>
  <c r="I158" i="6"/>
  <c r="H158" i="6"/>
  <c r="G158" i="6"/>
  <c r="F158" i="6"/>
  <c r="E158" i="6"/>
  <c r="A158" i="6"/>
  <c r="I157" i="6"/>
  <c r="H157" i="6"/>
  <c r="G157" i="6"/>
  <c r="F157" i="6"/>
  <c r="E157" i="6"/>
  <c r="A157" i="6"/>
  <c r="I156" i="6"/>
  <c r="H156" i="6"/>
  <c r="G156" i="6"/>
  <c r="F156" i="6"/>
  <c r="E156" i="6"/>
  <c r="A156" i="6"/>
  <c r="I155" i="6"/>
  <c r="H155" i="6"/>
  <c r="G155" i="6"/>
  <c r="F155" i="6"/>
  <c r="E155" i="6"/>
  <c r="A155" i="6"/>
  <c r="I154" i="6"/>
  <c r="H154" i="6"/>
  <c r="G154" i="6"/>
  <c r="F154" i="6"/>
  <c r="E154" i="6"/>
  <c r="A154" i="6"/>
  <c r="I153" i="6"/>
  <c r="H153" i="6"/>
  <c r="G153" i="6"/>
  <c r="F153" i="6"/>
  <c r="E153" i="6"/>
  <c r="A153" i="6"/>
  <c r="I152" i="6"/>
  <c r="H152" i="6"/>
  <c r="G152" i="6"/>
  <c r="F152" i="6"/>
  <c r="E152" i="6"/>
  <c r="A152" i="6"/>
  <c r="I151" i="6"/>
  <c r="H151" i="6"/>
  <c r="G151" i="6"/>
  <c r="F151" i="6"/>
  <c r="E151" i="6"/>
  <c r="A151" i="6"/>
  <c r="I150" i="6"/>
  <c r="H150" i="6"/>
  <c r="G150" i="6"/>
  <c r="F150" i="6"/>
  <c r="E150" i="6"/>
  <c r="A150" i="6"/>
  <c r="I149" i="6"/>
  <c r="H149" i="6"/>
  <c r="G149" i="6"/>
  <c r="F149" i="6"/>
  <c r="E149" i="6"/>
  <c r="A149" i="6"/>
  <c r="I148" i="6"/>
  <c r="H148" i="6"/>
  <c r="G148" i="6"/>
  <c r="F148" i="6"/>
  <c r="E148" i="6"/>
  <c r="A148" i="6"/>
  <c r="I147" i="6"/>
  <c r="H147" i="6"/>
  <c r="G147" i="6"/>
  <c r="F147" i="6"/>
  <c r="E147" i="6"/>
  <c r="A147" i="6"/>
  <c r="I146" i="6"/>
  <c r="H146" i="6"/>
  <c r="G146" i="6"/>
  <c r="F146" i="6"/>
  <c r="E146" i="6"/>
  <c r="A146" i="6"/>
  <c r="I145" i="6"/>
  <c r="H145" i="6"/>
  <c r="G145" i="6"/>
  <c r="F145" i="6"/>
  <c r="E145" i="6"/>
  <c r="A145" i="6"/>
  <c r="I144" i="6"/>
  <c r="H144" i="6"/>
  <c r="G144" i="6"/>
  <c r="F144" i="6"/>
  <c r="E144" i="6"/>
  <c r="A144" i="6"/>
  <c r="I143" i="6"/>
  <c r="H143" i="6"/>
  <c r="G143" i="6"/>
  <c r="F143" i="6"/>
  <c r="E143" i="6"/>
  <c r="A143" i="6"/>
  <c r="I142" i="6"/>
  <c r="H142" i="6"/>
  <c r="G142" i="6"/>
  <c r="F142" i="6"/>
  <c r="E142" i="6"/>
  <c r="A142" i="6"/>
  <c r="I141" i="6"/>
  <c r="H141" i="6"/>
  <c r="G141" i="6"/>
  <c r="F141" i="6"/>
  <c r="E141" i="6"/>
  <c r="A141" i="6"/>
  <c r="I140" i="6"/>
  <c r="H140" i="6"/>
  <c r="G140" i="6"/>
  <c r="F140" i="6"/>
  <c r="E140" i="6"/>
  <c r="A140" i="6"/>
  <c r="I139" i="6"/>
  <c r="H139" i="6"/>
  <c r="G139" i="6"/>
  <c r="F139" i="6"/>
  <c r="E139" i="6"/>
  <c r="A139" i="6"/>
  <c r="I138" i="6"/>
  <c r="H138" i="6"/>
  <c r="G138" i="6"/>
  <c r="F138" i="6"/>
  <c r="E138" i="6"/>
  <c r="A138" i="6"/>
  <c r="I137" i="6"/>
  <c r="H137" i="6"/>
  <c r="G137" i="6"/>
  <c r="F137" i="6"/>
  <c r="E137" i="6"/>
  <c r="A137" i="6"/>
  <c r="I136" i="6"/>
  <c r="H136" i="6"/>
  <c r="G136" i="6"/>
  <c r="F136" i="6"/>
  <c r="E136" i="6"/>
  <c r="A136" i="6"/>
  <c r="I135" i="6"/>
  <c r="H135" i="6"/>
  <c r="G135" i="6"/>
  <c r="F135" i="6"/>
  <c r="E135" i="6"/>
  <c r="A135" i="6"/>
  <c r="I134" i="6"/>
  <c r="H134" i="6"/>
  <c r="G134" i="6"/>
  <c r="F134" i="6"/>
  <c r="E134" i="6"/>
  <c r="A134" i="6"/>
  <c r="I133" i="6"/>
  <c r="H133" i="6"/>
  <c r="G133" i="6"/>
  <c r="F133" i="6"/>
  <c r="E133" i="6"/>
  <c r="A133" i="6"/>
  <c r="I132" i="6"/>
  <c r="H132" i="6"/>
  <c r="G132" i="6"/>
  <c r="F132" i="6"/>
  <c r="E132" i="6"/>
  <c r="A132" i="6"/>
  <c r="I131" i="6"/>
  <c r="H131" i="6"/>
  <c r="G131" i="6"/>
  <c r="F131" i="6"/>
  <c r="E131" i="6"/>
  <c r="A131" i="6"/>
  <c r="I130" i="6"/>
  <c r="H130" i="6"/>
  <c r="G130" i="6"/>
  <c r="F130" i="6"/>
  <c r="E130" i="6"/>
  <c r="A130" i="6"/>
  <c r="I129" i="6"/>
  <c r="H129" i="6"/>
  <c r="G129" i="6"/>
  <c r="F129" i="6"/>
  <c r="E129" i="6"/>
  <c r="A129" i="6"/>
  <c r="I128" i="6"/>
  <c r="H128" i="6"/>
  <c r="G128" i="6"/>
  <c r="F128" i="6"/>
  <c r="E128" i="6"/>
  <c r="A128" i="6"/>
  <c r="I127" i="6"/>
  <c r="H127" i="6"/>
  <c r="G127" i="6"/>
  <c r="F127" i="6"/>
  <c r="E127" i="6"/>
  <c r="A127" i="6"/>
  <c r="I126" i="6"/>
  <c r="H126" i="6"/>
  <c r="G126" i="6"/>
  <c r="F126" i="6"/>
  <c r="E126" i="6"/>
  <c r="A126" i="6"/>
  <c r="I125" i="6"/>
  <c r="H125" i="6"/>
  <c r="G125" i="6"/>
  <c r="F125" i="6"/>
  <c r="E125" i="6"/>
  <c r="A125" i="6"/>
  <c r="I124" i="6"/>
  <c r="H124" i="6"/>
  <c r="G124" i="6"/>
  <c r="F124" i="6"/>
  <c r="E124" i="6"/>
  <c r="A124" i="6"/>
  <c r="I123" i="6"/>
  <c r="H123" i="6"/>
  <c r="G123" i="6"/>
  <c r="F123" i="6"/>
  <c r="E123" i="6"/>
  <c r="A123" i="6"/>
  <c r="I122" i="6"/>
  <c r="H122" i="6"/>
  <c r="G122" i="6"/>
  <c r="F122" i="6"/>
  <c r="E122" i="6"/>
  <c r="A122" i="6"/>
  <c r="I121" i="6"/>
  <c r="H121" i="6"/>
  <c r="G121" i="6"/>
  <c r="F121" i="6"/>
  <c r="E121" i="6"/>
  <c r="A121" i="6"/>
  <c r="I120" i="6"/>
  <c r="H120" i="6"/>
  <c r="G120" i="6"/>
  <c r="F120" i="6"/>
  <c r="E120" i="6"/>
  <c r="A120" i="6"/>
  <c r="I119" i="6"/>
  <c r="H119" i="6"/>
  <c r="G119" i="6"/>
  <c r="F119" i="6"/>
  <c r="E119" i="6"/>
  <c r="A119" i="6"/>
  <c r="I118" i="6"/>
  <c r="H118" i="6"/>
  <c r="G118" i="6"/>
  <c r="F118" i="6"/>
  <c r="E118" i="6"/>
  <c r="A118" i="6"/>
  <c r="I117" i="6"/>
  <c r="H117" i="6"/>
  <c r="G117" i="6"/>
  <c r="F117" i="6"/>
  <c r="E117" i="6"/>
  <c r="A117" i="6"/>
  <c r="I116" i="6"/>
  <c r="H116" i="6"/>
  <c r="G116" i="6"/>
  <c r="F116" i="6"/>
  <c r="E116" i="6"/>
  <c r="A116" i="6"/>
  <c r="I115" i="6"/>
  <c r="H115" i="6"/>
  <c r="G115" i="6"/>
  <c r="F115" i="6"/>
  <c r="E115" i="6"/>
  <c r="A115" i="6"/>
  <c r="I114" i="6"/>
  <c r="H114" i="6"/>
  <c r="G114" i="6"/>
  <c r="F114" i="6"/>
  <c r="E114" i="6"/>
  <c r="A114" i="6"/>
  <c r="I113" i="6"/>
  <c r="H113" i="6"/>
  <c r="G113" i="6"/>
  <c r="F113" i="6"/>
  <c r="E113" i="6"/>
  <c r="A113" i="6"/>
  <c r="I112" i="6"/>
  <c r="H112" i="6"/>
  <c r="G112" i="6"/>
  <c r="F112" i="6"/>
  <c r="E112" i="6"/>
  <c r="A112" i="6"/>
  <c r="I111" i="6"/>
  <c r="H111" i="6"/>
  <c r="G111" i="6"/>
  <c r="F111" i="6"/>
  <c r="E111" i="6"/>
  <c r="A111" i="6"/>
  <c r="I110" i="6"/>
  <c r="H110" i="6"/>
  <c r="G110" i="6"/>
  <c r="F110" i="6"/>
  <c r="E110" i="6"/>
  <c r="A110" i="6"/>
  <c r="I109" i="6"/>
  <c r="H109" i="6"/>
  <c r="G109" i="6"/>
  <c r="F109" i="6"/>
  <c r="E109" i="6"/>
  <c r="A109" i="6"/>
  <c r="I108" i="6"/>
  <c r="H108" i="6"/>
  <c r="G108" i="6"/>
  <c r="F108" i="6"/>
  <c r="E108" i="6"/>
  <c r="A108" i="6"/>
  <c r="I107" i="6"/>
  <c r="H107" i="6"/>
  <c r="G107" i="6"/>
  <c r="F107" i="6"/>
  <c r="E107" i="6"/>
  <c r="A107" i="6"/>
  <c r="I106" i="6"/>
  <c r="H106" i="6"/>
  <c r="G106" i="6"/>
  <c r="F106" i="6"/>
  <c r="E106" i="6"/>
  <c r="A106" i="6"/>
  <c r="I105" i="6"/>
  <c r="H105" i="6"/>
  <c r="G105" i="6"/>
  <c r="F105" i="6"/>
  <c r="E105" i="6"/>
  <c r="A105" i="6"/>
  <c r="I104" i="6"/>
  <c r="H104" i="6"/>
  <c r="G104" i="6"/>
  <c r="F104" i="6"/>
  <c r="E104" i="6"/>
  <c r="A104" i="6"/>
  <c r="I103" i="6"/>
  <c r="H103" i="6"/>
  <c r="G103" i="6"/>
  <c r="F103" i="6"/>
  <c r="E103" i="6"/>
  <c r="A103" i="6"/>
  <c r="I102" i="6"/>
  <c r="H102" i="6"/>
  <c r="G102" i="6"/>
  <c r="F102" i="6"/>
  <c r="E102" i="6"/>
  <c r="A102" i="6"/>
  <c r="I101" i="6"/>
  <c r="H101" i="6"/>
  <c r="G101" i="6"/>
  <c r="F101" i="6"/>
  <c r="E101" i="6"/>
  <c r="A101" i="6"/>
  <c r="I100" i="6"/>
  <c r="H100" i="6"/>
  <c r="G100" i="6"/>
  <c r="F100" i="6"/>
  <c r="E100" i="6"/>
  <c r="A100" i="6"/>
  <c r="I99" i="6"/>
  <c r="H99" i="6"/>
  <c r="G99" i="6"/>
  <c r="F99" i="6"/>
  <c r="E99" i="6"/>
  <c r="A99" i="6"/>
  <c r="I98" i="6"/>
  <c r="H98" i="6"/>
  <c r="G98" i="6"/>
  <c r="F98" i="6"/>
  <c r="E98" i="6"/>
  <c r="A98" i="6"/>
  <c r="I97" i="6"/>
  <c r="H97" i="6"/>
  <c r="G97" i="6"/>
  <c r="F97" i="6"/>
  <c r="E97" i="6"/>
  <c r="A97" i="6"/>
  <c r="I96" i="6"/>
  <c r="H96" i="6"/>
  <c r="G96" i="6"/>
  <c r="F96" i="6"/>
  <c r="E96" i="6"/>
  <c r="A96" i="6"/>
  <c r="I95" i="6"/>
  <c r="H95" i="6"/>
  <c r="G95" i="6"/>
  <c r="F95" i="6"/>
  <c r="E95" i="6"/>
  <c r="A95" i="6"/>
  <c r="I94" i="6"/>
  <c r="H94" i="6"/>
  <c r="G94" i="6"/>
  <c r="F94" i="6"/>
  <c r="E94" i="6"/>
  <c r="A94" i="6"/>
  <c r="I93" i="6"/>
  <c r="H93" i="6"/>
  <c r="G93" i="6"/>
  <c r="F93" i="6"/>
  <c r="E93" i="6"/>
  <c r="A93" i="6"/>
  <c r="I92" i="6"/>
  <c r="H92" i="6"/>
  <c r="G92" i="6"/>
  <c r="F92" i="6"/>
  <c r="E92" i="6"/>
  <c r="A92" i="6"/>
  <c r="I91" i="6"/>
  <c r="H91" i="6"/>
  <c r="G91" i="6"/>
  <c r="F91" i="6"/>
  <c r="E91" i="6"/>
  <c r="A91" i="6"/>
  <c r="I90" i="6"/>
  <c r="H90" i="6"/>
  <c r="G90" i="6"/>
  <c r="F90" i="6"/>
  <c r="E90" i="6"/>
  <c r="A90" i="6"/>
  <c r="I89" i="6"/>
  <c r="H89" i="6"/>
  <c r="G89" i="6"/>
  <c r="F89" i="6"/>
  <c r="E89" i="6"/>
  <c r="A89" i="6"/>
  <c r="I88" i="6"/>
  <c r="H88" i="6"/>
  <c r="G88" i="6"/>
  <c r="F88" i="6"/>
  <c r="E88" i="6"/>
  <c r="A88" i="6"/>
  <c r="I87" i="6"/>
  <c r="H87" i="6"/>
  <c r="G87" i="6"/>
  <c r="F87" i="6"/>
  <c r="E87" i="6"/>
  <c r="A87" i="6"/>
  <c r="I86" i="6"/>
  <c r="H86" i="6"/>
  <c r="G86" i="6"/>
  <c r="F86" i="6"/>
  <c r="E86" i="6"/>
  <c r="A86" i="6"/>
  <c r="I85" i="6"/>
  <c r="H85" i="6"/>
  <c r="G85" i="6"/>
  <c r="F85" i="6"/>
  <c r="E85" i="6"/>
  <c r="A85" i="6"/>
  <c r="I84" i="6"/>
  <c r="H84" i="6"/>
  <c r="G84" i="6"/>
  <c r="F84" i="6"/>
  <c r="E84" i="6"/>
  <c r="A84" i="6"/>
  <c r="I83" i="6"/>
  <c r="H83" i="6"/>
  <c r="G83" i="6"/>
  <c r="F83" i="6"/>
  <c r="E83" i="6"/>
  <c r="A83" i="6"/>
  <c r="I82" i="6"/>
  <c r="H82" i="6"/>
  <c r="G82" i="6"/>
  <c r="F82" i="6"/>
  <c r="E82" i="6"/>
  <c r="A82" i="6"/>
  <c r="I81" i="6"/>
  <c r="H81" i="6"/>
  <c r="G81" i="6"/>
  <c r="F81" i="6"/>
  <c r="E81" i="6"/>
  <c r="A81" i="6"/>
  <c r="I80" i="6"/>
  <c r="H80" i="6"/>
  <c r="G80" i="6"/>
  <c r="F80" i="6"/>
  <c r="E80" i="6"/>
  <c r="A80" i="6"/>
  <c r="I79" i="6"/>
  <c r="H79" i="6"/>
  <c r="G79" i="6"/>
  <c r="F79" i="6"/>
  <c r="E79" i="6"/>
  <c r="A79" i="6"/>
  <c r="I78" i="6"/>
  <c r="H78" i="6"/>
  <c r="G78" i="6"/>
  <c r="F78" i="6"/>
  <c r="E78" i="6"/>
  <c r="A78" i="6"/>
  <c r="I77" i="6"/>
  <c r="H77" i="6"/>
  <c r="G77" i="6"/>
  <c r="F77" i="6"/>
  <c r="E77" i="6"/>
  <c r="A77" i="6"/>
  <c r="I76" i="6"/>
  <c r="H76" i="6"/>
  <c r="G76" i="6"/>
  <c r="F76" i="6"/>
  <c r="E76" i="6"/>
  <c r="A76" i="6"/>
  <c r="I75" i="6"/>
  <c r="H75" i="6"/>
  <c r="G75" i="6"/>
  <c r="F75" i="6"/>
  <c r="E75" i="6"/>
  <c r="A75" i="6"/>
  <c r="I74" i="6"/>
  <c r="H74" i="6"/>
  <c r="G74" i="6"/>
  <c r="F74" i="6"/>
  <c r="E74" i="6"/>
  <c r="A74" i="6"/>
  <c r="I73" i="6"/>
  <c r="H73" i="6"/>
  <c r="G73" i="6"/>
  <c r="F73" i="6"/>
  <c r="E73" i="6"/>
  <c r="A73" i="6"/>
  <c r="I72" i="6"/>
  <c r="H72" i="6"/>
  <c r="G72" i="6"/>
  <c r="F72" i="6"/>
  <c r="E72" i="6"/>
  <c r="A72" i="6"/>
  <c r="I71" i="6"/>
  <c r="H71" i="6"/>
  <c r="G71" i="6"/>
  <c r="F71" i="6"/>
  <c r="E71" i="6"/>
  <c r="A71" i="6"/>
  <c r="I70" i="6"/>
  <c r="H70" i="6"/>
  <c r="G70" i="6"/>
  <c r="F70" i="6"/>
  <c r="E70" i="6"/>
  <c r="A70" i="6"/>
  <c r="I69" i="6"/>
  <c r="H69" i="6"/>
  <c r="G69" i="6"/>
  <c r="F69" i="6"/>
  <c r="E69" i="6"/>
  <c r="A69" i="6"/>
  <c r="I68" i="6"/>
  <c r="H68" i="6"/>
  <c r="G68" i="6"/>
  <c r="F68" i="6"/>
  <c r="E68" i="6"/>
  <c r="A68" i="6"/>
  <c r="I67" i="6"/>
  <c r="H67" i="6"/>
  <c r="G67" i="6"/>
  <c r="F67" i="6"/>
  <c r="E67" i="6"/>
  <c r="A67" i="6"/>
  <c r="I66" i="6"/>
  <c r="H66" i="6"/>
  <c r="G66" i="6"/>
  <c r="F66" i="6"/>
  <c r="E66" i="6"/>
  <c r="A66" i="6"/>
  <c r="I65" i="6"/>
  <c r="H65" i="6"/>
  <c r="G65" i="6"/>
  <c r="F65" i="6"/>
  <c r="E65" i="6"/>
  <c r="A65" i="6"/>
  <c r="I64" i="6"/>
  <c r="H64" i="6"/>
  <c r="G64" i="6"/>
  <c r="F64" i="6"/>
  <c r="E64" i="6"/>
  <c r="A64" i="6"/>
  <c r="I63" i="6"/>
  <c r="H63" i="6"/>
  <c r="G63" i="6"/>
  <c r="F63" i="6"/>
  <c r="E63" i="6"/>
  <c r="A63" i="6"/>
  <c r="I62" i="6"/>
  <c r="H62" i="6"/>
  <c r="G62" i="6"/>
  <c r="F62" i="6"/>
  <c r="E62" i="6"/>
  <c r="A62" i="6"/>
  <c r="I61" i="6"/>
  <c r="H61" i="6"/>
  <c r="G61" i="6"/>
  <c r="F61" i="6"/>
  <c r="E61" i="6"/>
  <c r="A61" i="6"/>
  <c r="I60" i="6"/>
  <c r="H60" i="6"/>
  <c r="G60" i="6"/>
  <c r="F60" i="6"/>
  <c r="E60" i="6"/>
  <c r="A60" i="6"/>
  <c r="I59" i="6"/>
  <c r="H59" i="6"/>
  <c r="G59" i="6"/>
  <c r="F59" i="6"/>
  <c r="E59" i="6"/>
  <c r="A59" i="6"/>
  <c r="I58" i="6"/>
  <c r="H58" i="6"/>
  <c r="G58" i="6"/>
  <c r="F58" i="6"/>
  <c r="E58" i="6"/>
  <c r="A58" i="6"/>
  <c r="I57" i="6"/>
  <c r="H57" i="6"/>
  <c r="G57" i="6"/>
  <c r="F57" i="6"/>
  <c r="E57" i="6"/>
  <c r="A57" i="6"/>
  <c r="I56" i="6"/>
  <c r="H56" i="6"/>
  <c r="G56" i="6"/>
  <c r="F56" i="6"/>
  <c r="E56" i="6"/>
  <c r="A56" i="6"/>
  <c r="I55" i="6"/>
  <c r="H55" i="6"/>
  <c r="G55" i="6"/>
  <c r="F55" i="6"/>
  <c r="E55" i="6"/>
  <c r="A55" i="6"/>
  <c r="I54" i="6"/>
  <c r="H54" i="6"/>
  <c r="G54" i="6"/>
  <c r="F54" i="6"/>
  <c r="E54" i="6"/>
  <c r="A54" i="6"/>
  <c r="I53" i="6"/>
  <c r="H53" i="6"/>
  <c r="G53" i="6"/>
  <c r="F53" i="6"/>
  <c r="E53" i="6"/>
  <c r="A53" i="6"/>
  <c r="I52" i="6"/>
  <c r="H52" i="6"/>
  <c r="G52" i="6"/>
  <c r="F52" i="6"/>
  <c r="E52" i="6"/>
  <c r="A52" i="6"/>
  <c r="I51" i="6"/>
  <c r="H51" i="6"/>
  <c r="G51" i="6"/>
  <c r="F51" i="6"/>
  <c r="E51" i="6"/>
  <c r="A51" i="6"/>
  <c r="I50" i="6"/>
  <c r="H50" i="6"/>
  <c r="G50" i="6"/>
  <c r="F50" i="6"/>
  <c r="E50" i="6"/>
  <c r="A50" i="6"/>
  <c r="I49" i="6"/>
  <c r="H49" i="6"/>
  <c r="G49" i="6"/>
  <c r="F49" i="6"/>
  <c r="E49" i="6"/>
  <c r="A49" i="6"/>
  <c r="I48" i="6"/>
  <c r="H48" i="6"/>
  <c r="G48" i="6"/>
  <c r="F48" i="6"/>
  <c r="E48" i="6"/>
  <c r="A48" i="6"/>
  <c r="I47" i="6"/>
  <c r="H47" i="6"/>
  <c r="G47" i="6"/>
  <c r="F47" i="6"/>
  <c r="E47" i="6"/>
  <c r="A47" i="6"/>
  <c r="I46" i="6"/>
  <c r="H46" i="6"/>
  <c r="G46" i="6"/>
  <c r="F46" i="6"/>
  <c r="E46" i="6"/>
  <c r="A46" i="6"/>
  <c r="I45" i="6"/>
  <c r="H45" i="6"/>
  <c r="G45" i="6"/>
  <c r="F45" i="6"/>
  <c r="E45" i="6"/>
  <c r="A45" i="6"/>
  <c r="I44" i="6"/>
  <c r="H44" i="6"/>
  <c r="G44" i="6"/>
  <c r="F44" i="6"/>
  <c r="E44" i="6"/>
  <c r="A44" i="6"/>
  <c r="I43" i="6"/>
  <c r="H43" i="6"/>
  <c r="G43" i="6"/>
  <c r="F43" i="6"/>
  <c r="E43" i="6"/>
  <c r="A43" i="6"/>
  <c r="I42" i="6"/>
  <c r="H42" i="6"/>
  <c r="G42" i="6"/>
  <c r="F42" i="6"/>
  <c r="E42" i="6"/>
  <c r="A42" i="6"/>
  <c r="I41" i="6"/>
  <c r="H41" i="6"/>
  <c r="G41" i="6"/>
  <c r="F41" i="6"/>
  <c r="E41" i="6"/>
  <c r="A41" i="6"/>
  <c r="I40" i="6"/>
  <c r="H40" i="6"/>
  <c r="G40" i="6"/>
  <c r="F40" i="6"/>
  <c r="E40" i="6"/>
  <c r="A40" i="6"/>
  <c r="I39" i="6"/>
  <c r="H39" i="6"/>
  <c r="G39" i="6"/>
  <c r="F39" i="6"/>
  <c r="E39" i="6"/>
  <c r="A39" i="6"/>
  <c r="I38" i="6"/>
  <c r="H38" i="6"/>
  <c r="G38" i="6"/>
  <c r="F38" i="6"/>
  <c r="E38" i="6"/>
  <c r="A38" i="6"/>
  <c r="I37" i="6"/>
  <c r="H37" i="6"/>
  <c r="G37" i="6"/>
  <c r="F37" i="6"/>
  <c r="E37" i="6"/>
  <c r="A37" i="6"/>
  <c r="I36" i="6"/>
  <c r="H36" i="6"/>
  <c r="G36" i="6"/>
  <c r="F36" i="6"/>
  <c r="E36" i="6"/>
  <c r="A36" i="6"/>
  <c r="I35" i="6"/>
  <c r="H35" i="6"/>
  <c r="G35" i="6"/>
  <c r="F35" i="6"/>
  <c r="E35" i="6"/>
  <c r="A35" i="6"/>
  <c r="I34" i="6"/>
  <c r="H34" i="6"/>
  <c r="G34" i="6"/>
  <c r="F34" i="6"/>
  <c r="E34" i="6"/>
  <c r="A34" i="6"/>
  <c r="I33" i="6"/>
  <c r="H33" i="6"/>
  <c r="G33" i="6"/>
  <c r="F33" i="6"/>
  <c r="E33" i="6"/>
  <c r="A33" i="6"/>
  <c r="I32" i="6"/>
  <c r="H32" i="6"/>
  <c r="G32" i="6"/>
  <c r="F32" i="6"/>
  <c r="E32" i="6"/>
  <c r="A32" i="6"/>
  <c r="I31" i="6"/>
  <c r="H31" i="6"/>
  <c r="G31" i="6"/>
  <c r="F31" i="6"/>
  <c r="E31" i="6"/>
  <c r="A31" i="6"/>
  <c r="I30" i="6"/>
  <c r="H30" i="6"/>
  <c r="G30" i="6"/>
  <c r="F30" i="6"/>
  <c r="E30" i="6"/>
  <c r="A30" i="6"/>
  <c r="I29" i="6"/>
  <c r="H29" i="6"/>
  <c r="G29" i="6"/>
  <c r="F29" i="6"/>
  <c r="E29" i="6"/>
  <c r="A29" i="6"/>
  <c r="I28" i="6"/>
  <c r="H28" i="6"/>
  <c r="G28" i="6"/>
  <c r="F28" i="6"/>
  <c r="E28" i="6"/>
  <c r="A28" i="6"/>
  <c r="I27" i="6"/>
  <c r="H27" i="6"/>
  <c r="G27" i="6"/>
  <c r="F27" i="6"/>
  <c r="E27" i="6"/>
  <c r="A27" i="6"/>
  <c r="I26" i="6"/>
  <c r="H26" i="6"/>
  <c r="G26" i="6"/>
  <c r="F26" i="6"/>
  <c r="E26" i="6"/>
  <c r="A26" i="6"/>
  <c r="I25" i="6"/>
  <c r="H25" i="6"/>
  <c r="G25" i="6"/>
  <c r="F25" i="6"/>
  <c r="E25" i="6"/>
  <c r="A25" i="6"/>
  <c r="I24" i="6"/>
  <c r="H24" i="6"/>
  <c r="G24" i="6"/>
  <c r="F24" i="6"/>
  <c r="E24" i="6"/>
  <c r="A24" i="6"/>
  <c r="I23" i="6"/>
  <c r="H23" i="6"/>
  <c r="G23" i="6"/>
  <c r="F23" i="6"/>
  <c r="E23" i="6"/>
  <c r="A23" i="6"/>
  <c r="I22" i="6"/>
  <c r="H22" i="6"/>
  <c r="G22" i="6"/>
  <c r="F22" i="6"/>
  <c r="E22" i="6"/>
  <c r="A22" i="6"/>
  <c r="I21" i="6"/>
  <c r="H21" i="6"/>
  <c r="G21" i="6"/>
  <c r="F21" i="6"/>
  <c r="E21" i="6"/>
  <c r="A21" i="6"/>
  <c r="I20" i="6"/>
  <c r="H20" i="6"/>
  <c r="G20" i="6"/>
  <c r="F20" i="6"/>
  <c r="E20" i="6"/>
  <c r="A20" i="6"/>
  <c r="I19" i="6"/>
  <c r="H19" i="6"/>
  <c r="G19" i="6"/>
  <c r="F19" i="6"/>
  <c r="E19" i="6"/>
  <c r="A19" i="6"/>
  <c r="I18" i="6"/>
  <c r="H18" i="6"/>
  <c r="G18" i="6"/>
  <c r="F18" i="6"/>
  <c r="E18" i="6"/>
  <c r="A18" i="6"/>
  <c r="I17" i="6"/>
  <c r="H17" i="6"/>
  <c r="G17" i="6"/>
  <c r="F17" i="6"/>
  <c r="E17" i="6"/>
  <c r="A17" i="6"/>
  <c r="I16" i="6"/>
  <c r="H16" i="6"/>
  <c r="G16" i="6"/>
  <c r="F16" i="6"/>
  <c r="E16" i="6"/>
  <c r="A16" i="6"/>
  <c r="I15" i="6"/>
  <c r="H15" i="6"/>
  <c r="G15" i="6"/>
  <c r="F15" i="6"/>
  <c r="E15" i="6"/>
  <c r="A15" i="6"/>
  <c r="I14" i="6"/>
  <c r="H14" i="6"/>
  <c r="G14" i="6"/>
  <c r="F14" i="6"/>
  <c r="E14" i="6"/>
  <c r="A14" i="6"/>
  <c r="I13" i="6"/>
  <c r="H13" i="6"/>
  <c r="G13" i="6"/>
  <c r="F13" i="6"/>
  <c r="E13" i="6"/>
  <c r="A13" i="6"/>
  <c r="I12" i="6"/>
  <c r="H12" i="6"/>
  <c r="G12" i="6"/>
  <c r="F12" i="6"/>
  <c r="E12" i="6"/>
  <c r="A12" i="6"/>
  <c r="I11" i="6"/>
  <c r="H11" i="6"/>
  <c r="G11" i="6"/>
  <c r="F11" i="6"/>
  <c r="E11" i="6"/>
  <c r="A11" i="6"/>
  <c r="I10" i="6"/>
  <c r="H10" i="6"/>
  <c r="G10" i="6"/>
  <c r="F10" i="6"/>
  <c r="E10" i="6"/>
  <c r="A10" i="6"/>
  <c r="I9" i="6"/>
  <c r="H9" i="6"/>
  <c r="G9" i="6"/>
  <c r="F9" i="6"/>
  <c r="E9" i="6"/>
  <c r="A9" i="6"/>
  <c r="I8" i="6"/>
  <c r="H8" i="6"/>
  <c r="G8" i="6"/>
  <c r="F8" i="6"/>
  <c r="E8" i="6"/>
  <c r="A8" i="6"/>
  <c r="I7" i="6"/>
  <c r="H7" i="6"/>
  <c r="G7" i="6"/>
  <c r="F7" i="6"/>
  <c r="E7" i="6"/>
  <c r="A7" i="6"/>
  <c r="I6" i="6"/>
  <c r="H6" i="6"/>
  <c r="G6" i="6"/>
  <c r="F6" i="6"/>
  <c r="E6" i="6"/>
  <c r="A6" i="6"/>
  <c r="I5" i="6"/>
  <c r="H5" i="6"/>
  <c r="G5" i="6"/>
  <c r="F5" i="6"/>
  <c r="E5" i="6"/>
  <c r="A5" i="6"/>
  <c r="I4" i="6"/>
  <c r="H4" i="6"/>
  <c r="G4" i="6"/>
  <c r="F4" i="6"/>
  <c r="E4" i="6"/>
  <c r="A4" i="6"/>
  <c r="I3" i="6"/>
  <c r="H3" i="6"/>
  <c r="G3" i="6"/>
  <c r="F3" i="6"/>
  <c r="E3" i="6"/>
  <c r="A3" i="6"/>
  <c r="I2" i="6"/>
  <c r="H2" i="6"/>
  <c r="G2" i="6"/>
  <c r="F2" i="6"/>
  <c r="E2" i="6"/>
  <c r="A2" i="6"/>
  <c r="R200" i="2"/>
  <c r="K200" i="6" s="1"/>
  <c r="N200" i="2"/>
  <c r="U200" i="2" s="1"/>
  <c r="J200" i="6" s="1"/>
  <c r="R199" i="2"/>
  <c r="K199" i="6" s="1"/>
  <c r="N199" i="2"/>
  <c r="B199" i="6" s="1"/>
  <c r="R198" i="2"/>
  <c r="K198" i="6" s="1"/>
  <c r="N198" i="2"/>
  <c r="O198" i="2" s="1"/>
  <c r="C198" i="6" s="1"/>
  <c r="R197" i="2"/>
  <c r="K197" i="6" s="1"/>
  <c r="N197" i="2"/>
  <c r="B197" i="6" s="1"/>
  <c r="R196" i="2"/>
  <c r="K196" i="6" s="1"/>
  <c r="N196" i="2"/>
  <c r="R195" i="2"/>
  <c r="K195" i="6" s="1"/>
  <c r="N195" i="2"/>
  <c r="B195" i="6" s="1"/>
  <c r="R194" i="2"/>
  <c r="K194" i="6" s="1"/>
  <c r="N194" i="2"/>
  <c r="O194" i="2" s="1"/>
  <c r="C194" i="6" s="1"/>
  <c r="R193" i="2"/>
  <c r="K193" i="6" s="1"/>
  <c r="N193" i="2"/>
  <c r="P193" i="2" s="1"/>
  <c r="D193" i="6" s="1"/>
  <c r="R192" i="2"/>
  <c r="K192" i="6" s="1"/>
  <c r="N192" i="2"/>
  <c r="B192" i="6" s="1"/>
  <c r="R191" i="2"/>
  <c r="K191" i="6" s="1"/>
  <c r="N191" i="2"/>
  <c r="B191" i="6" s="1"/>
  <c r="R190" i="2"/>
  <c r="K190" i="6" s="1"/>
  <c r="N190" i="2"/>
  <c r="R189" i="2"/>
  <c r="K189" i="6" s="1"/>
  <c r="N189" i="2"/>
  <c r="U189" i="2" s="1"/>
  <c r="J189" i="6" s="1"/>
  <c r="R188" i="2"/>
  <c r="K188" i="6" s="1"/>
  <c r="N188" i="2"/>
  <c r="B188" i="6" s="1"/>
  <c r="R187" i="2"/>
  <c r="K187" i="6" s="1"/>
  <c r="N187" i="2"/>
  <c r="U187" i="2" s="1"/>
  <c r="J187" i="6" s="1"/>
  <c r="R186" i="2"/>
  <c r="K186" i="6" s="1"/>
  <c r="N186" i="2"/>
  <c r="B186" i="6" s="1"/>
  <c r="R185" i="2"/>
  <c r="K185" i="6" s="1"/>
  <c r="N185" i="2"/>
  <c r="B185" i="6" s="1"/>
  <c r="R184" i="2"/>
  <c r="K184" i="6" s="1"/>
  <c r="N184" i="2"/>
  <c r="U184" i="2" s="1"/>
  <c r="J184" i="6" s="1"/>
  <c r="R183" i="2"/>
  <c r="K183" i="6" s="1"/>
  <c r="N183" i="2"/>
  <c r="B183" i="6" s="1"/>
  <c r="R182" i="2"/>
  <c r="K182" i="6" s="1"/>
  <c r="N182" i="2"/>
  <c r="R181" i="2"/>
  <c r="K181" i="6" s="1"/>
  <c r="N181" i="2"/>
  <c r="B181" i="6" s="1"/>
  <c r="R180" i="2"/>
  <c r="K180" i="6" s="1"/>
  <c r="N180" i="2"/>
  <c r="B180" i="6" s="1"/>
  <c r="R179" i="2"/>
  <c r="K179" i="6" s="1"/>
  <c r="N179" i="2"/>
  <c r="U179" i="2" s="1"/>
  <c r="J179" i="6" s="1"/>
  <c r="R178" i="2"/>
  <c r="K178" i="6" s="1"/>
  <c r="N178" i="2"/>
  <c r="B178" i="6" s="1"/>
  <c r="R177" i="2"/>
  <c r="K177" i="6" s="1"/>
  <c r="N177" i="2"/>
  <c r="B177" i="6" s="1"/>
  <c r="R176" i="2"/>
  <c r="K176" i="6" s="1"/>
  <c r="N176" i="2"/>
  <c r="B176" i="6" s="1"/>
  <c r="R175" i="2"/>
  <c r="K175" i="6" s="1"/>
  <c r="N175" i="2"/>
  <c r="U175" i="2" s="1"/>
  <c r="J175" i="6" s="1"/>
  <c r="R174" i="2"/>
  <c r="K174" i="6" s="1"/>
  <c r="N174" i="2"/>
  <c r="B174" i="6" s="1"/>
  <c r="R173" i="2"/>
  <c r="K173" i="6" s="1"/>
  <c r="N173" i="2"/>
  <c r="B173" i="6" s="1"/>
  <c r="R172" i="2"/>
  <c r="K172" i="6" s="1"/>
  <c r="N172" i="2"/>
  <c r="P172" i="2" s="1"/>
  <c r="D172" i="6" s="1"/>
  <c r="R171" i="2"/>
  <c r="K171" i="6" s="1"/>
  <c r="N171" i="2"/>
  <c r="B171" i="6" s="1"/>
  <c r="R170" i="2"/>
  <c r="K170" i="6" s="1"/>
  <c r="N170" i="2"/>
  <c r="O170" i="2" s="1"/>
  <c r="C170" i="6" s="1"/>
  <c r="R169" i="2"/>
  <c r="K169" i="6" s="1"/>
  <c r="N169" i="2"/>
  <c r="O169" i="2" s="1"/>
  <c r="C169" i="6" s="1"/>
  <c r="R168" i="2"/>
  <c r="K168" i="6" s="1"/>
  <c r="N168" i="2"/>
  <c r="B168" i="6" s="1"/>
  <c r="R167" i="2"/>
  <c r="K167" i="6" s="1"/>
  <c r="N167" i="2"/>
  <c r="B167" i="6" s="1"/>
  <c r="R166" i="2"/>
  <c r="K166" i="6" s="1"/>
  <c r="N166" i="2"/>
  <c r="B166" i="6" s="1"/>
  <c r="R165" i="2"/>
  <c r="K165" i="6" s="1"/>
  <c r="N165" i="2"/>
  <c r="B165" i="6" s="1"/>
  <c r="R164" i="2"/>
  <c r="K164" i="6" s="1"/>
  <c r="N164" i="2"/>
  <c r="B164" i="6" s="1"/>
  <c r="R163" i="2"/>
  <c r="K163" i="6" s="1"/>
  <c r="N163" i="2"/>
  <c r="U163" i="2" s="1"/>
  <c r="J163" i="6" s="1"/>
  <c r="R162" i="2"/>
  <c r="K162" i="6" s="1"/>
  <c r="N162" i="2"/>
  <c r="B162" i="6" s="1"/>
  <c r="R161" i="2"/>
  <c r="K161" i="6" s="1"/>
  <c r="N161" i="2"/>
  <c r="B161" i="6" s="1"/>
  <c r="R160" i="2"/>
  <c r="K160" i="6" s="1"/>
  <c r="N160" i="2"/>
  <c r="U160" i="2" s="1"/>
  <c r="J160" i="6" s="1"/>
  <c r="R159" i="2"/>
  <c r="K159" i="6" s="1"/>
  <c r="N159" i="2"/>
  <c r="B159" i="6" s="1"/>
  <c r="R158" i="2"/>
  <c r="K158" i="6" s="1"/>
  <c r="N158" i="2"/>
  <c r="P158" i="2" s="1"/>
  <c r="D158" i="6" s="1"/>
  <c r="R157" i="2"/>
  <c r="K157" i="6" s="1"/>
  <c r="N157" i="2"/>
  <c r="U157" i="2" s="1"/>
  <c r="J157" i="6" s="1"/>
  <c r="R156" i="2"/>
  <c r="K156" i="6" s="1"/>
  <c r="N156" i="2"/>
  <c r="B156" i="6" s="1"/>
  <c r="R155" i="2"/>
  <c r="K155" i="6" s="1"/>
  <c r="N155" i="2"/>
  <c r="B155" i="6" s="1"/>
  <c r="R154" i="2"/>
  <c r="K154" i="6" s="1"/>
  <c r="N154" i="2"/>
  <c r="B154" i="6" s="1"/>
  <c r="R153" i="2"/>
  <c r="K153" i="6" s="1"/>
  <c r="N153" i="2"/>
  <c r="B153" i="6" s="1"/>
  <c r="R152" i="2"/>
  <c r="K152" i="6" s="1"/>
  <c r="N152" i="2"/>
  <c r="B152" i="6" s="1"/>
  <c r="R151" i="2"/>
  <c r="K151" i="6" s="1"/>
  <c r="N151" i="2"/>
  <c r="R150" i="2"/>
  <c r="K150" i="6" s="1"/>
  <c r="N150" i="2"/>
  <c r="B150" i="6" s="1"/>
  <c r="R149" i="2"/>
  <c r="K149" i="6" s="1"/>
  <c r="N149" i="2"/>
  <c r="R148" i="2"/>
  <c r="K148" i="6" s="1"/>
  <c r="N148" i="2"/>
  <c r="P148" i="2" s="1"/>
  <c r="D148" i="6" s="1"/>
  <c r="R147" i="2"/>
  <c r="K147" i="6" s="1"/>
  <c r="N147" i="2"/>
  <c r="O147" i="2" s="1"/>
  <c r="C147" i="6" s="1"/>
  <c r="R146" i="2"/>
  <c r="K146" i="6" s="1"/>
  <c r="N146" i="2"/>
  <c r="O146" i="2" s="1"/>
  <c r="C146" i="6" s="1"/>
  <c r="R145" i="2"/>
  <c r="K145" i="6" s="1"/>
  <c r="N145" i="2"/>
  <c r="B145" i="6" s="1"/>
  <c r="R144" i="2"/>
  <c r="K144" i="6" s="1"/>
  <c r="N144" i="2"/>
  <c r="B144" i="6" s="1"/>
  <c r="R143" i="2"/>
  <c r="K143" i="6" s="1"/>
  <c r="N143" i="2"/>
  <c r="B143" i="6" s="1"/>
  <c r="R142" i="2"/>
  <c r="K142" i="6" s="1"/>
  <c r="N142" i="2"/>
  <c r="B142" i="6" s="1"/>
  <c r="R141" i="2"/>
  <c r="K141" i="6" s="1"/>
  <c r="N141" i="2"/>
  <c r="U141" i="2" s="1"/>
  <c r="J141" i="6" s="1"/>
  <c r="R140" i="2"/>
  <c r="K140" i="6" s="1"/>
  <c r="N140" i="2"/>
  <c r="B140" i="6" s="1"/>
  <c r="R139" i="2"/>
  <c r="K139" i="6" s="1"/>
  <c r="N139" i="2"/>
  <c r="R138" i="2"/>
  <c r="K138" i="6" s="1"/>
  <c r="N138" i="2"/>
  <c r="B138" i="6" s="1"/>
  <c r="R137" i="2"/>
  <c r="K137" i="6" s="1"/>
  <c r="N137" i="2"/>
  <c r="B137" i="6" s="1"/>
  <c r="R136" i="2"/>
  <c r="K136" i="6" s="1"/>
  <c r="N136" i="2"/>
  <c r="U136" i="2" s="1"/>
  <c r="J136" i="6" s="1"/>
  <c r="R135" i="2"/>
  <c r="K135" i="6" s="1"/>
  <c r="N135" i="2"/>
  <c r="R134" i="2"/>
  <c r="K134" i="6" s="1"/>
  <c r="N134" i="2"/>
  <c r="U134" i="2" s="1"/>
  <c r="J134" i="6" s="1"/>
  <c r="R133" i="2"/>
  <c r="K133" i="6" s="1"/>
  <c r="N133" i="2"/>
  <c r="B133" i="6" s="1"/>
  <c r="R132" i="2"/>
  <c r="K132" i="6" s="1"/>
  <c r="N132" i="2"/>
  <c r="O132" i="2" s="1"/>
  <c r="C132" i="6" s="1"/>
  <c r="R131" i="2"/>
  <c r="K131" i="6" s="1"/>
  <c r="N131" i="2"/>
  <c r="U131" i="2" s="1"/>
  <c r="J131" i="6" s="1"/>
  <c r="R130" i="2"/>
  <c r="K130" i="6" s="1"/>
  <c r="N130" i="2"/>
  <c r="B130" i="6" s="1"/>
  <c r="R129" i="2"/>
  <c r="K129" i="6" s="1"/>
  <c r="N129" i="2"/>
  <c r="B129" i="6" s="1"/>
  <c r="R128" i="2"/>
  <c r="K128" i="6" s="1"/>
  <c r="N128" i="2"/>
  <c r="B128" i="6" s="1"/>
  <c r="R127" i="2"/>
  <c r="K127" i="6" s="1"/>
  <c r="N127" i="2"/>
  <c r="R126" i="2"/>
  <c r="K126" i="6" s="1"/>
  <c r="N126" i="2"/>
  <c r="B126" i="6" s="1"/>
  <c r="R125" i="2"/>
  <c r="K125" i="6" s="1"/>
  <c r="N125" i="2"/>
  <c r="B125" i="6" s="1"/>
  <c r="R124" i="2"/>
  <c r="K124" i="6" s="1"/>
  <c r="N124" i="2"/>
  <c r="P124" i="2" s="1"/>
  <c r="D124" i="6" s="1"/>
  <c r="R123" i="2"/>
  <c r="K123" i="6" s="1"/>
  <c r="N123" i="2"/>
  <c r="U123" i="2" s="1"/>
  <c r="J123" i="6" s="1"/>
  <c r="R122" i="2"/>
  <c r="K122" i="6" s="1"/>
  <c r="N122" i="2"/>
  <c r="O122" i="2" s="1"/>
  <c r="C122" i="6" s="1"/>
  <c r="R121" i="2"/>
  <c r="K121" i="6" s="1"/>
  <c r="N121" i="2"/>
  <c r="O121" i="2" s="1"/>
  <c r="C121" i="6" s="1"/>
  <c r="R120" i="2"/>
  <c r="K120" i="6" s="1"/>
  <c r="N120" i="2"/>
  <c r="R119" i="2"/>
  <c r="K119" i="6" s="1"/>
  <c r="N119" i="2"/>
  <c r="B119" i="6" s="1"/>
  <c r="R118" i="2"/>
  <c r="K118" i="6" s="1"/>
  <c r="N118" i="2"/>
  <c r="B118" i="6" s="1"/>
  <c r="R117" i="2"/>
  <c r="K117" i="6" s="1"/>
  <c r="N117" i="2"/>
  <c r="B117" i="6" s="1"/>
  <c r="R116" i="2"/>
  <c r="K116" i="6" s="1"/>
  <c r="N116" i="2"/>
  <c r="B116" i="6" s="1"/>
  <c r="R115" i="2"/>
  <c r="K115" i="6" s="1"/>
  <c r="N115" i="2"/>
  <c r="U115" i="2" s="1"/>
  <c r="J115" i="6" s="1"/>
  <c r="R114" i="2"/>
  <c r="K114" i="6" s="1"/>
  <c r="N114" i="2"/>
  <c r="B114" i="6" s="1"/>
  <c r="R113" i="2"/>
  <c r="K113" i="6" s="1"/>
  <c r="N113" i="2"/>
  <c r="B113" i="6" s="1"/>
  <c r="R112" i="2"/>
  <c r="K112" i="6" s="1"/>
  <c r="N112" i="2"/>
  <c r="U112" i="2" s="1"/>
  <c r="J112" i="6" s="1"/>
  <c r="R111" i="2"/>
  <c r="K111" i="6" s="1"/>
  <c r="N111" i="2"/>
  <c r="B111" i="6" s="1"/>
  <c r="R110" i="2"/>
  <c r="K110" i="6" s="1"/>
  <c r="N110" i="2"/>
  <c r="P110" i="2" s="1"/>
  <c r="D110" i="6" s="1"/>
  <c r="R109" i="2"/>
  <c r="K109" i="6" s="1"/>
  <c r="N109" i="2"/>
  <c r="B109" i="6" s="1"/>
  <c r="R108" i="2"/>
  <c r="K108" i="6" s="1"/>
  <c r="N108" i="2"/>
  <c r="B108" i="6" s="1"/>
  <c r="R107" i="2"/>
  <c r="K107" i="6" s="1"/>
  <c r="N107" i="2"/>
  <c r="U107" i="2" s="1"/>
  <c r="J107" i="6" s="1"/>
  <c r="R106" i="2"/>
  <c r="K106" i="6" s="1"/>
  <c r="N106" i="2"/>
  <c r="B106" i="6" s="1"/>
  <c r="R105" i="2"/>
  <c r="K105" i="6" s="1"/>
  <c r="N105" i="2"/>
  <c r="B105" i="6" s="1"/>
  <c r="R104" i="2"/>
  <c r="K104" i="6" s="1"/>
  <c r="N104" i="2"/>
  <c r="B104" i="6" s="1"/>
  <c r="R103" i="2"/>
  <c r="K103" i="6" s="1"/>
  <c r="N103" i="2"/>
  <c r="R102" i="2"/>
  <c r="K102" i="6" s="1"/>
  <c r="N102" i="2"/>
  <c r="B102" i="6" s="1"/>
  <c r="R101" i="2"/>
  <c r="K101" i="6" s="1"/>
  <c r="N101" i="2"/>
  <c r="B101" i="6" s="1"/>
  <c r="R100" i="2"/>
  <c r="K100" i="6" s="1"/>
  <c r="N100" i="2"/>
  <c r="P100" i="2" s="1"/>
  <c r="D100" i="6" s="1"/>
  <c r="R99" i="2"/>
  <c r="K99" i="6" s="1"/>
  <c r="N99" i="2"/>
  <c r="O99" i="2" s="1"/>
  <c r="C99" i="6" s="1"/>
  <c r="R98" i="2"/>
  <c r="K98" i="6" s="1"/>
  <c r="N98" i="2"/>
  <c r="O98" i="2" s="1"/>
  <c r="C98" i="6" s="1"/>
  <c r="R97" i="2"/>
  <c r="K97" i="6" s="1"/>
  <c r="N97" i="2"/>
  <c r="B97" i="6" s="1"/>
  <c r="R96" i="2"/>
  <c r="K96" i="6" s="1"/>
  <c r="N96" i="2"/>
  <c r="R95" i="2"/>
  <c r="K95" i="6" s="1"/>
  <c r="N95" i="2"/>
  <c r="B95" i="6" s="1"/>
  <c r="R94" i="2"/>
  <c r="K94" i="6" s="1"/>
  <c r="N94" i="2"/>
  <c r="B94" i="6" s="1"/>
  <c r="R93" i="2"/>
  <c r="K93" i="6" s="1"/>
  <c r="N93" i="2"/>
  <c r="B93" i="6" s="1"/>
  <c r="R92" i="2"/>
  <c r="K92" i="6" s="1"/>
  <c r="N92" i="2"/>
  <c r="B92" i="6" s="1"/>
  <c r="R91" i="2"/>
  <c r="K91" i="6" s="1"/>
  <c r="N91" i="2"/>
  <c r="P91" i="2" s="1"/>
  <c r="D91" i="6" s="1"/>
  <c r="R90" i="2"/>
  <c r="K90" i="6" s="1"/>
  <c r="N90" i="2"/>
  <c r="B90" i="6" s="1"/>
  <c r="R89" i="2"/>
  <c r="K89" i="6" s="1"/>
  <c r="N89" i="2"/>
  <c r="U89" i="2" s="1"/>
  <c r="J89" i="6" s="1"/>
  <c r="R88" i="2"/>
  <c r="K88" i="6" s="1"/>
  <c r="N88" i="2"/>
  <c r="U88" i="2" s="1"/>
  <c r="J88" i="6" s="1"/>
  <c r="R87" i="2"/>
  <c r="K87" i="6" s="1"/>
  <c r="N87" i="2"/>
  <c r="B87" i="6" s="1"/>
  <c r="R86" i="2"/>
  <c r="K86" i="6" s="1"/>
  <c r="N86" i="2"/>
  <c r="P86" i="2" s="1"/>
  <c r="D86" i="6" s="1"/>
  <c r="R85" i="2"/>
  <c r="K85" i="6" s="1"/>
  <c r="N85" i="2"/>
  <c r="R84" i="2"/>
  <c r="K84" i="6" s="1"/>
  <c r="N84" i="2"/>
  <c r="B84" i="6" s="1"/>
  <c r="R83" i="2"/>
  <c r="K83" i="6" s="1"/>
  <c r="N83" i="2"/>
  <c r="R82" i="2"/>
  <c r="K82" i="6" s="1"/>
  <c r="N82" i="2"/>
  <c r="B82" i="6" s="1"/>
  <c r="R81" i="2"/>
  <c r="K81" i="6" s="1"/>
  <c r="N81" i="2"/>
  <c r="P81" i="2" s="1"/>
  <c r="D81" i="6" s="1"/>
  <c r="R80" i="2"/>
  <c r="K80" i="6" s="1"/>
  <c r="N80" i="2"/>
  <c r="B80" i="6" s="1"/>
  <c r="R79" i="2"/>
  <c r="K79" i="6" s="1"/>
  <c r="N79" i="2"/>
  <c r="P79" i="2" s="1"/>
  <c r="D79" i="6" s="1"/>
  <c r="R78" i="2"/>
  <c r="K78" i="6" s="1"/>
  <c r="N78" i="2"/>
  <c r="B78" i="6" s="1"/>
  <c r="R77" i="2"/>
  <c r="K77" i="6" s="1"/>
  <c r="N77" i="2"/>
  <c r="R76" i="2"/>
  <c r="K76" i="6" s="1"/>
  <c r="N76" i="2"/>
  <c r="B76" i="6" s="1"/>
  <c r="R75" i="2"/>
  <c r="K75" i="6" s="1"/>
  <c r="N75" i="2"/>
  <c r="B75" i="6" s="1"/>
  <c r="R74" i="2"/>
  <c r="K74" i="6" s="1"/>
  <c r="N74" i="2"/>
  <c r="P74" i="2" s="1"/>
  <c r="D74" i="6" s="1"/>
  <c r="R73" i="2"/>
  <c r="K73" i="6" s="1"/>
  <c r="N73" i="2"/>
  <c r="U73" i="2" s="1"/>
  <c r="J73" i="6" s="1"/>
  <c r="R72" i="2"/>
  <c r="K72" i="6" s="1"/>
  <c r="N72" i="2"/>
  <c r="B72" i="6" s="1"/>
  <c r="R71" i="2"/>
  <c r="K71" i="6" s="1"/>
  <c r="N71" i="2"/>
  <c r="B71" i="6" s="1"/>
  <c r="R70" i="2"/>
  <c r="K70" i="6" s="1"/>
  <c r="N70" i="2"/>
  <c r="R69" i="2"/>
  <c r="K69" i="6" s="1"/>
  <c r="N69" i="2"/>
  <c r="B69" i="6" s="1"/>
  <c r="R68" i="2"/>
  <c r="K68" i="6" s="1"/>
  <c r="N68" i="2"/>
  <c r="B68" i="6" s="1"/>
  <c r="R67" i="2"/>
  <c r="K67" i="6" s="1"/>
  <c r="N67" i="2"/>
  <c r="B67" i="6" s="1"/>
  <c r="R66" i="2"/>
  <c r="K66" i="6" s="1"/>
  <c r="N66" i="2"/>
  <c r="B66" i="6" s="1"/>
  <c r="R65" i="2"/>
  <c r="K65" i="6" s="1"/>
  <c r="N65" i="2"/>
  <c r="B65" i="6" s="1"/>
  <c r="R64" i="2"/>
  <c r="K64" i="6" s="1"/>
  <c r="N64" i="2"/>
  <c r="B64" i="6" s="1"/>
  <c r="R63" i="2"/>
  <c r="K63" i="6" s="1"/>
  <c r="N63" i="2"/>
  <c r="R62" i="2"/>
  <c r="K62" i="6" s="1"/>
  <c r="N62" i="2"/>
  <c r="O62" i="2" s="1"/>
  <c r="C62" i="6" s="1"/>
  <c r="R61" i="2"/>
  <c r="K61" i="6" s="1"/>
  <c r="N61" i="2"/>
  <c r="B61" i="6" s="1"/>
  <c r="R60" i="2"/>
  <c r="K60" i="6" s="1"/>
  <c r="N60" i="2"/>
  <c r="B60" i="6" s="1"/>
  <c r="R59" i="2"/>
  <c r="K59" i="6" s="1"/>
  <c r="N59" i="2"/>
  <c r="B59" i="6" s="1"/>
  <c r="R58" i="2"/>
  <c r="K58" i="6" s="1"/>
  <c r="N58" i="2"/>
  <c r="B58" i="6" s="1"/>
  <c r="R57" i="2"/>
  <c r="K57" i="6" s="1"/>
  <c r="N57" i="2"/>
  <c r="B57" i="6" s="1"/>
  <c r="R56" i="2"/>
  <c r="K56" i="6" s="1"/>
  <c r="N56" i="2"/>
  <c r="R55" i="2"/>
  <c r="K55" i="6" s="1"/>
  <c r="N55" i="2"/>
  <c r="B55" i="6" s="1"/>
  <c r="R54" i="2"/>
  <c r="K54" i="6" s="1"/>
  <c r="N54" i="2"/>
  <c r="B54" i="6" s="1"/>
  <c r="R53" i="2"/>
  <c r="K53" i="6" s="1"/>
  <c r="N53" i="2"/>
  <c r="B53" i="6" s="1"/>
  <c r="R52" i="2"/>
  <c r="K52" i="6" s="1"/>
  <c r="N52" i="2"/>
  <c r="U52" i="2" s="1"/>
  <c r="J52" i="6" s="1"/>
  <c r="R51" i="2"/>
  <c r="K51" i="6" s="1"/>
  <c r="N51" i="2"/>
  <c r="U51" i="2" s="1"/>
  <c r="J51" i="6" s="1"/>
  <c r="R50" i="2"/>
  <c r="K50" i="6" s="1"/>
  <c r="N50" i="2"/>
  <c r="B50" i="6" s="1"/>
  <c r="R49" i="2"/>
  <c r="K49" i="6" s="1"/>
  <c r="N49" i="2"/>
  <c r="U49" i="2" s="1"/>
  <c r="J49" i="6" s="1"/>
  <c r="R48" i="2"/>
  <c r="K48" i="6" s="1"/>
  <c r="N48" i="2"/>
  <c r="B48" i="6" s="1"/>
  <c r="R47" i="2"/>
  <c r="K47" i="6" s="1"/>
  <c r="N47" i="2"/>
  <c r="O47" i="2" s="1"/>
  <c r="C47" i="6" s="1"/>
  <c r="R46" i="2"/>
  <c r="K46" i="6" s="1"/>
  <c r="N46" i="2"/>
  <c r="B46" i="6" s="1"/>
  <c r="R45" i="2"/>
  <c r="K45" i="6" s="1"/>
  <c r="N45" i="2"/>
  <c r="O45" i="2" s="1"/>
  <c r="C45" i="6" s="1"/>
  <c r="R44" i="2"/>
  <c r="K44" i="6" s="1"/>
  <c r="N44" i="2"/>
  <c r="B44" i="6" s="1"/>
  <c r="R43" i="2"/>
  <c r="K43" i="6" s="1"/>
  <c r="N43" i="2"/>
  <c r="B43" i="6" s="1"/>
  <c r="R42" i="2"/>
  <c r="K42" i="6" s="1"/>
  <c r="N42" i="2"/>
  <c r="B42" i="6" s="1"/>
  <c r="R41" i="2"/>
  <c r="K41" i="6" s="1"/>
  <c r="N41" i="2"/>
  <c r="B41" i="6" s="1"/>
  <c r="R40" i="2"/>
  <c r="K40" i="6" s="1"/>
  <c r="N40" i="2"/>
  <c r="U40" i="2" s="1"/>
  <c r="J40" i="6" s="1"/>
  <c r="R39" i="2"/>
  <c r="K39" i="6" s="1"/>
  <c r="N39" i="2"/>
  <c r="B39" i="6" s="1"/>
  <c r="R38" i="2"/>
  <c r="K38" i="6" s="1"/>
  <c r="N38" i="2"/>
  <c r="P38" i="2" s="1"/>
  <c r="D38" i="6" s="1"/>
  <c r="R37" i="2"/>
  <c r="K37" i="6" s="1"/>
  <c r="N37" i="2"/>
  <c r="U37" i="2" s="1"/>
  <c r="J37" i="6" s="1"/>
  <c r="R36" i="2"/>
  <c r="K36" i="6" s="1"/>
  <c r="N36" i="2"/>
  <c r="B36" i="6" s="1"/>
  <c r="R35" i="2"/>
  <c r="K35" i="6" s="1"/>
  <c r="N35" i="2"/>
  <c r="O35" i="2" s="1"/>
  <c r="C35" i="6" s="1"/>
  <c r="R34" i="2"/>
  <c r="K34" i="6" s="1"/>
  <c r="N34" i="2"/>
  <c r="P34" i="2" s="1"/>
  <c r="D34" i="6" s="1"/>
  <c r="R33" i="2"/>
  <c r="K33" i="6" s="1"/>
  <c r="N33" i="2"/>
  <c r="P33" i="2" s="1"/>
  <c r="D33" i="6" s="1"/>
  <c r="R32" i="2"/>
  <c r="K32" i="6" s="1"/>
  <c r="N32" i="2"/>
  <c r="U32" i="2" s="1"/>
  <c r="J32" i="6" s="1"/>
  <c r="R31" i="2"/>
  <c r="K31" i="6" s="1"/>
  <c r="N31" i="2"/>
  <c r="B31" i="6" s="1"/>
  <c r="R30" i="2"/>
  <c r="K30" i="6" s="1"/>
  <c r="N30" i="2"/>
  <c r="B30" i="6" s="1"/>
  <c r="R29" i="2"/>
  <c r="K29" i="6" s="1"/>
  <c r="N29" i="2"/>
  <c r="R28" i="2"/>
  <c r="K28" i="6" s="1"/>
  <c r="N28" i="2"/>
  <c r="B28" i="6" s="1"/>
  <c r="R27" i="2"/>
  <c r="K27" i="6" s="1"/>
  <c r="N27" i="2"/>
  <c r="B27" i="6" s="1"/>
  <c r="R26" i="2"/>
  <c r="K26" i="6" s="1"/>
  <c r="N26" i="2"/>
  <c r="R25" i="2"/>
  <c r="K25" i="6" s="1"/>
  <c r="N25" i="2"/>
  <c r="U25" i="2" s="1"/>
  <c r="J25" i="6" s="1"/>
  <c r="R24" i="2"/>
  <c r="K24" i="6" s="1"/>
  <c r="N24" i="2"/>
  <c r="B24" i="6" s="1"/>
  <c r="R23" i="2"/>
  <c r="K23" i="6" s="1"/>
  <c r="N23" i="2"/>
  <c r="B23" i="6" s="1"/>
  <c r="R22" i="2"/>
  <c r="K22" i="6" s="1"/>
  <c r="N22" i="2"/>
  <c r="R21" i="2"/>
  <c r="K21" i="6" s="1"/>
  <c r="N21" i="2"/>
  <c r="O21" i="2" s="1"/>
  <c r="C21" i="6" s="1"/>
  <c r="R20" i="2"/>
  <c r="K20" i="6" s="1"/>
  <c r="N20" i="2"/>
  <c r="B20" i="6" s="1"/>
  <c r="R19" i="2"/>
  <c r="K19" i="6" s="1"/>
  <c r="N19" i="2"/>
  <c r="B19" i="6" s="1"/>
  <c r="R18" i="2"/>
  <c r="K18" i="6" s="1"/>
  <c r="N18" i="2"/>
  <c r="B18" i="6" s="1"/>
  <c r="B17" i="6"/>
  <c r="R15" i="2"/>
  <c r="K15" i="6" s="1"/>
  <c r="N15" i="2"/>
  <c r="R14" i="2"/>
  <c r="E9" i="1" s="1"/>
  <c r="N14" i="2"/>
  <c r="P14" i="2" s="1"/>
  <c r="D14" i="6" s="1"/>
  <c r="R13" i="2"/>
  <c r="K13" i="6" s="1"/>
  <c r="N13" i="2"/>
  <c r="B13" i="6" s="1"/>
  <c r="R12" i="2"/>
  <c r="K12" i="6" s="1"/>
  <c r="N12" i="2"/>
  <c r="B12" i="6" s="1"/>
  <c r="R11" i="2"/>
  <c r="K11" i="6" s="1"/>
  <c r="N11" i="2"/>
  <c r="P11" i="2" s="1"/>
  <c r="D11" i="6" s="1"/>
  <c r="R10" i="2"/>
  <c r="K10" i="6" s="1"/>
  <c r="N10" i="2"/>
  <c r="B10" i="6" s="1"/>
  <c r="R9" i="2"/>
  <c r="K9" i="6" s="1"/>
  <c r="N9" i="2"/>
  <c r="O9" i="2" s="1"/>
  <c r="C9" i="6" s="1"/>
  <c r="R8" i="2"/>
  <c r="H9" i="1" s="1"/>
  <c r="N8" i="2"/>
  <c r="B8" i="6" s="1"/>
  <c r="R7" i="2"/>
  <c r="H7" i="1" s="1"/>
  <c r="N7" i="2"/>
  <c r="B7" i="6" s="1"/>
  <c r="R6" i="2"/>
  <c r="K6" i="6" s="1"/>
  <c r="N6" i="2"/>
  <c r="B6" i="6" s="1"/>
  <c r="R5" i="2"/>
  <c r="K5" i="6" s="1"/>
  <c r="N5" i="2"/>
  <c r="P5" i="2" s="1"/>
  <c r="D5" i="6" s="1"/>
  <c r="R4" i="2"/>
  <c r="N4" i="2"/>
  <c r="O4" i="2" s="1"/>
  <c r="C4" i="6" s="1"/>
  <c r="R3" i="2"/>
  <c r="K3" i="6" s="1"/>
  <c r="N3" i="2"/>
  <c r="R2" i="2"/>
  <c r="N2" i="2"/>
  <c r="B2" i="6" s="1"/>
  <c r="B4" i="1"/>
  <c r="B14" i="1" l="1" a="1"/>
  <c r="B14" i="1" s="1"/>
  <c r="B13" i="1" a="1"/>
  <c r="B13" i="1" s="1"/>
  <c r="B16" i="1" a="1"/>
  <c r="B16" i="1" s="1"/>
  <c r="B17" i="1" a="1"/>
  <c r="B17" i="1" s="1"/>
  <c r="B18" i="1" a="1"/>
  <c r="B18" i="1" s="1"/>
  <c r="Y16" i="2" a="1"/>
  <c r="Y16" i="2" s="1"/>
  <c r="U16" i="2"/>
  <c r="J16" i="6" s="1"/>
  <c r="H8" i="1"/>
  <c r="P16" i="2"/>
  <c r="D16" i="6" s="1"/>
  <c r="E11" i="1"/>
  <c r="E14" i="1"/>
  <c r="H5" i="1"/>
  <c r="E7" i="1"/>
  <c r="E5" i="1"/>
  <c r="H18" i="1"/>
  <c r="H16" i="1"/>
  <c r="H14" i="1"/>
  <c r="H13" i="1"/>
  <c r="E13" i="1"/>
  <c r="E10" i="1"/>
  <c r="H11" i="1"/>
  <c r="E8" i="1"/>
  <c r="E15" i="1"/>
  <c r="F17" i="8"/>
  <c r="B14" i="6"/>
  <c r="B110" i="6"/>
  <c r="P32" i="2"/>
  <c r="D32" i="6" s="1"/>
  <c r="U173" i="2"/>
  <c r="J173" i="6" s="1"/>
  <c r="U158" i="2"/>
  <c r="J158" i="6" s="1"/>
  <c r="U147" i="2"/>
  <c r="J147" i="6" s="1"/>
  <c r="B121" i="6"/>
  <c r="U38" i="2"/>
  <c r="J38" i="6" s="1"/>
  <c r="U82" i="2"/>
  <c r="J82" i="6" s="1"/>
  <c r="U4" i="2"/>
  <c r="J4" i="6" s="1"/>
  <c r="B4" i="6"/>
  <c r="U183" i="2"/>
  <c r="J183" i="6" s="1"/>
  <c r="K7" i="6"/>
  <c r="P101" i="2"/>
  <c r="D101" i="6" s="1"/>
  <c r="O64" i="2"/>
  <c r="C64" i="6" s="1"/>
  <c r="P68" i="2"/>
  <c r="D68" i="6" s="1"/>
  <c r="B107" i="6"/>
  <c r="U28" i="2"/>
  <c r="J28" i="6" s="1"/>
  <c r="U137" i="2"/>
  <c r="J137" i="6" s="1"/>
  <c r="O68" i="2"/>
  <c r="C68" i="6" s="1"/>
  <c r="U64" i="2"/>
  <c r="J64" i="6" s="1"/>
  <c r="U168" i="2"/>
  <c r="J168" i="6" s="1"/>
  <c r="P64" i="2"/>
  <c r="D64" i="6" s="1"/>
  <c r="B62" i="6"/>
  <c r="B147" i="6"/>
  <c r="B86" i="6"/>
  <c r="P4" i="2"/>
  <c r="D4" i="6" s="1"/>
  <c r="O108" i="2"/>
  <c r="C108" i="6" s="1"/>
  <c r="B35" i="6"/>
  <c r="U45" i="2"/>
  <c r="J45" i="6" s="1"/>
  <c r="U108" i="2"/>
  <c r="J108" i="6" s="1"/>
  <c r="U145" i="2"/>
  <c r="J145" i="6" s="1"/>
  <c r="P197" i="2"/>
  <c r="D197" i="6" s="1"/>
  <c r="B47" i="6"/>
  <c r="P57" i="2"/>
  <c r="D57" i="6" s="1"/>
  <c r="P75" i="2"/>
  <c r="D75" i="6" s="1"/>
  <c r="U105" i="2"/>
  <c r="J105" i="6" s="1"/>
  <c r="P161" i="2"/>
  <c r="D161" i="6" s="1"/>
  <c r="P181" i="2"/>
  <c r="D181" i="6" s="1"/>
  <c r="B16" i="6"/>
  <c r="B169" i="6"/>
  <c r="P20" i="2"/>
  <c r="D20" i="6" s="1"/>
  <c r="P169" i="2"/>
  <c r="D169" i="6" s="1"/>
  <c r="O180" i="2"/>
  <c r="C180" i="6" s="1"/>
  <c r="U34" i="2"/>
  <c r="J34" i="6" s="1"/>
  <c r="P108" i="2"/>
  <c r="D108" i="6" s="1"/>
  <c r="U154" i="2"/>
  <c r="J154" i="6" s="1"/>
  <c r="U94" i="2"/>
  <c r="J94" i="6" s="1"/>
  <c r="O197" i="2"/>
  <c r="C197" i="6" s="1"/>
  <c r="P62" i="2"/>
  <c r="D62" i="6" s="1"/>
  <c r="U65" i="2"/>
  <c r="J65" i="6" s="1"/>
  <c r="U62" i="2"/>
  <c r="J62" i="6" s="1"/>
  <c r="U114" i="2"/>
  <c r="J114" i="6" s="1"/>
  <c r="U197" i="2"/>
  <c r="J197" i="6" s="1"/>
  <c r="O28" i="2"/>
  <c r="C28" i="6" s="1"/>
  <c r="B32" i="6"/>
  <c r="P180" i="2"/>
  <c r="D180" i="6" s="1"/>
  <c r="P40" i="2"/>
  <c r="D40" i="6" s="1"/>
  <c r="B200" i="6"/>
  <c r="U180" i="2"/>
  <c r="J180" i="6" s="1"/>
  <c r="P27" i="2"/>
  <c r="D27" i="6" s="1"/>
  <c r="U109" i="2"/>
  <c r="J109" i="6" s="1"/>
  <c r="P8" i="2"/>
  <c r="D8" i="6" s="1"/>
  <c r="U23" i="2"/>
  <c r="J23" i="6" s="1"/>
  <c r="P28" i="2"/>
  <c r="D28" i="6" s="1"/>
  <c r="U71" i="2"/>
  <c r="J71" i="6" s="1"/>
  <c r="U86" i="2"/>
  <c r="J86" i="6" s="1"/>
  <c r="U106" i="2"/>
  <c r="J106" i="6" s="1"/>
  <c r="P142" i="2"/>
  <c r="D142" i="6" s="1"/>
  <c r="P147" i="2"/>
  <c r="D147" i="6" s="1"/>
  <c r="O20" i="2"/>
  <c r="C20" i="6" s="1"/>
  <c r="C16" i="6"/>
  <c r="U104" i="2"/>
  <c r="J104" i="6" s="1"/>
  <c r="P113" i="2"/>
  <c r="D113" i="6" s="1"/>
  <c r="U69" i="2"/>
  <c r="J69" i="6" s="1"/>
  <c r="U129" i="2"/>
  <c r="J129" i="6" s="1"/>
  <c r="U41" i="2"/>
  <c r="J41" i="6" s="1"/>
  <c r="U125" i="2"/>
  <c r="J125" i="6" s="1"/>
  <c r="U130" i="2"/>
  <c r="J130" i="6" s="1"/>
  <c r="U53" i="2"/>
  <c r="J53" i="6" s="1"/>
  <c r="U76" i="2"/>
  <c r="J76" i="6" s="1"/>
  <c r="U97" i="2"/>
  <c r="J97" i="6" s="1"/>
  <c r="U121" i="2"/>
  <c r="J121" i="6" s="1"/>
  <c r="U162" i="2"/>
  <c r="J162" i="6" s="1"/>
  <c r="B38" i="6"/>
  <c r="B70" i="6"/>
  <c r="U70" i="2"/>
  <c r="J70" i="6" s="1"/>
  <c r="P50" i="2"/>
  <c r="D50" i="6" s="1"/>
  <c r="U58" i="2"/>
  <c r="J58" i="6" s="1"/>
  <c r="U83" i="2"/>
  <c r="J83" i="6" s="1"/>
  <c r="B83" i="6"/>
  <c r="U17" i="2"/>
  <c r="J17" i="6" s="1"/>
  <c r="U21" i="2"/>
  <c r="J21" i="6" s="1"/>
  <c r="B63" i="6"/>
  <c r="P63" i="2"/>
  <c r="D63" i="6" s="1"/>
  <c r="P95" i="2"/>
  <c r="D95" i="6" s="1"/>
  <c r="O144" i="2"/>
  <c r="C144" i="6" s="1"/>
  <c r="P2" i="2"/>
  <c r="D2" i="6" s="1"/>
  <c r="U5" i="2"/>
  <c r="J5" i="6" s="1"/>
  <c r="K14" i="6"/>
  <c r="B22" i="6"/>
  <c r="U22" i="2"/>
  <c r="J22" i="6" s="1"/>
  <c r="U50" i="2"/>
  <c r="J50" i="6" s="1"/>
  <c r="U87" i="2"/>
  <c r="J87" i="6" s="1"/>
  <c r="U91" i="2"/>
  <c r="J91" i="6" s="1"/>
  <c r="O123" i="2"/>
  <c r="C123" i="6" s="1"/>
  <c r="P144" i="2"/>
  <c r="D144" i="6" s="1"/>
  <c r="P156" i="2"/>
  <c r="D156" i="6" s="1"/>
  <c r="U159" i="2"/>
  <c r="J159" i="6" s="1"/>
  <c r="U167" i="2"/>
  <c r="J167" i="6" s="1"/>
  <c r="U14" i="2"/>
  <c r="J14" i="6" s="1"/>
  <c r="P47" i="2"/>
  <c r="D47" i="6" s="1"/>
  <c r="P80" i="2"/>
  <c r="D80" i="6" s="1"/>
  <c r="O84" i="2"/>
  <c r="C84" i="6" s="1"/>
  <c r="B96" i="6"/>
  <c r="P96" i="2"/>
  <c r="D96" i="6" s="1"/>
  <c r="O96" i="2"/>
  <c r="C96" i="6" s="1"/>
  <c r="P111" i="2"/>
  <c r="D111" i="6" s="1"/>
  <c r="P123" i="2"/>
  <c r="D123" i="6" s="1"/>
  <c r="P128" i="2"/>
  <c r="D128" i="6" s="1"/>
  <c r="U152" i="2"/>
  <c r="J152" i="6" s="1"/>
  <c r="P192" i="2"/>
  <c r="D192" i="6" s="1"/>
  <c r="U196" i="2"/>
  <c r="J196" i="6" s="1"/>
  <c r="P196" i="2"/>
  <c r="D196" i="6" s="1"/>
  <c r="U199" i="2"/>
  <c r="J199" i="6" s="1"/>
  <c r="B51" i="6"/>
  <c r="U2" i="2"/>
  <c r="J2" i="6" s="1"/>
  <c r="U10" i="2"/>
  <c r="J10" i="6" s="1"/>
  <c r="B15" i="6"/>
  <c r="P15" i="2"/>
  <c r="D15" i="6" s="1"/>
  <c r="P35" i="2"/>
  <c r="D35" i="6" s="1"/>
  <c r="P51" i="2"/>
  <c r="D51" i="6" s="1"/>
  <c r="B56" i="6"/>
  <c r="P56" i="2"/>
  <c r="D56" i="6" s="1"/>
  <c r="O56" i="2"/>
  <c r="C56" i="6" s="1"/>
  <c r="O76" i="2"/>
  <c r="C76" i="6" s="1"/>
  <c r="P84" i="2"/>
  <c r="D84" i="6" s="1"/>
  <c r="B120" i="6"/>
  <c r="U120" i="2"/>
  <c r="J120" i="6" s="1"/>
  <c r="O137" i="2"/>
  <c r="C137" i="6" s="1"/>
  <c r="U144" i="2"/>
  <c r="J144" i="6" s="1"/>
  <c r="U156" i="2"/>
  <c r="J156" i="6" s="1"/>
  <c r="P177" i="2"/>
  <c r="D177" i="6" s="1"/>
  <c r="O196" i="2"/>
  <c r="C196" i="6" s="1"/>
  <c r="B3" i="6"/>
  <c r="U3" i="2"/>
  <c r="J3" i="6" s="1"/>
  <c r="O44" i="2"/>
  <c r="C44" i="6" s="1"/>
  <c r="U47" i="2"/>
  <c r="J47" i="6" s="1"/>
  <c r="P76" i="2"/>
  <c r="D76" i="6" s="1"/>
  <c r="B81" i="6"/>
  <c r="U81" i="2"/>
  <c r="J81" i="6" s="1"/>
  <c r="B89" i="6"/>
  <c r="P89" i="2"/>
  <c r="D89" i="6" s="1"/>
  <c r="O89" i="2"/>
  <c r="C89" i="6" s="1"/>
  <c r="U96" i="2"/>
  <c r="J96" i="6" s="1"/>
  <c r="U111" i="2"/>
  <c r="J111" i="6" s="1"/>
  <c r="O120" i="2"/>
  <c r="C120" i="6" s="1"/>
  <c r="O133" i="2"/>
  <c r="C133" i="6" s="1"/>
  <c r="P137" i="2"/>
  <c r="D137" i="6" s="1"/>
  <c r="B149" i="6"/>
  <c r="U149" i="2"/>
  <c r="J149" i="6" s="1"/>
  <c r="B157" i="6"/>
  <c r="P157" i="2"/>
  <c r="D157" i="6" s="1"/>
  <c r="O157" i="2"/>
  <c r="C157" i="6" s="1"/>
  <c r="O185" i="2"/>
  <c r="C185" i="6" s="1"/>
  <c r="U192" i="2"/>
  <c r="J192" i="6" s="1"/>
  <c r="U26" i="2"/>
  <c r="J26" i="6" s="1"/>
  <c r="B26" i="6"/>
  <c r="B29" i="6"/>
  <c r="U29" i="2"/>
  <c r="J29" i="6" s="1"/>
  <c r="O50" i="2"/>
  <c r="C50" i="6" s="1"/>
  <c r="B99" i="6"/>
  <c r="U99" i="2"/>
  <c r="J99" i="6" s="1"/>
  <c r="U139" i="2"/>
  <c r="J139" i="6" s="1"/>
  <c r="P139" i="2"/>
  <c r="D139" i="6" s="1"/>
  <c r="P191" i="2"/>
  <c r="D191" i="6" s="1"/>
  <c r="P159" i="2"/>
  <c r="D159" i="6" s="1"/>
  <c r="U171" i="2"/>
  <c r="J171" i="6" s="1"/>
  <c r="P171" i="2"/>
  <c r="D171" i="6" s="1"/>
  <c r="O171" i="2"/>
  <c r="C171" i="6" s="1"/>
  <c r="P187" i="2"/>
  <c r="D187" i="6" s="1"/>
  <c r="O2" i="2"/>
  <c r="C2" i="6" s="1"/>
  <c r="U9" i="2"/>
  <c r="J9" i="6" s="1"/>
  <c r="P26" i="2"/>
  <c r="D26" i="6" s="1"/>
  <c r="U46" i="2"/>
  <c r="J46" i="6" s="1"/>
  <c r="O59" i="2"/>
  <c r="C59" i="6" s="1"/>
  <c r="U59" i="2"/>
  <c r="J59" i="6" s="1"/>
  <c r="P99" i="2"/>
  <c r="D99" i="6" s="1"/>
  <c r="P119" i="2"/>
  <c r="D119" i="6" s="1"/>
  <c r="B132" i="6"/>
  <c r="U132" i="2"/>
  <c r="J132" i="6" s="1"/>
  <c r="P132" i="2"/>
  <c r="D132" i="6" s="1"/>
  <c r="P152" i="2"/>
  <c r="D152" i="6" s="1"/>
  <c r="O156" i="2"/>
  <c r="C156" i="6" s="1"/>
  <c r="P59" i="2"/>
  <c r="D59" i="6" s="1"/>
  <c r="O192" i="2"/>
  <c r="C192" i="6" s="1"/>
  <c r="U195" i="2"/>
  <c r="J195" i="6" s="1"/>
  <c r="P39" i="2"/>
  <c r="D39" i="6" s="1"/>
  <c r="U119" i="2"/>
  <c r="J119" i="6" s="1"/>
  <c r="O177" i="2"/>
  <c r="C177" i="6" s="1"/>
  <c r="P3" i="2"/>
  <c r="D3" i="6" s="1"/>
  <c r="O32" i="2"/>
  <c r="C32" i="6" s="1"/>
  <c r="U35" i="2"/>
  <c r="J35" i="6" s="1"/>
  <c r="O40" i="2"/>
  <c r="C40" i="6" s="1"/>
  <c r="P44" i="2"/>
  <c r="D44" i="6" s="1"/>
  <c r="B52" i="6"/>
  <c r="P52" i="2"/>
  <c r="D52" i="6" s="1"/>
  <c r="O52" i="2"/>
  <c r="C52" i="6" s="1"/>
  <c r="O81" i="2"/>
  <c r="C81" i="6" s="1"/>
  <c r="U84" i="2"/>
  <c r="J84" i="6" s="1"/>
  <c r="P120" i="2"/>
  <c r="D120" i="6" s="1"/>
  <c r="P133" i="2"/>
  <c r="D133" i="6" s="1"/>
  <c r="O142" i="2"/>
  <c r="C142" i="6" s="1"/>
  <c r="P149" i="2"/>
  <c r="D149" i="6" s="1"/>
  <c r="U153" i="2"/>
  <c r="J153" i="6" s="1"/>
  <c r="U177" i="2"/>
  <c r="J177" i="6" s="1"/>
  <c r="O181" i="2"/>
  <c r="C181" i="6" s="1"/>
  <c r="P185" i="2"/>
  <c r="D185" i="6" s="1"/>
  <c r="B40" i="6"/>
  <c r="P9" i="2"/>
  <c r="D9" i="6" s="1"/>
  <c r="P21" i="2"/>
  <c r="D21" i="6" s="1"/>
  <c r="B135" i="6"/>
  <c r="U135" i="2"/>
  <c r="J135" i="6" s="1"/>
  <c r="O195" i="2"/>
  <c r="C195" i="6" s="1"/>
  <c r="O14" i="2"/>
  <c r="C14" i="6" s="1"/>
  <c r="O26" i="2"/>
  <c r="C26" i="6" s="1"/>
  <c r="P167" i="2"/>
  <c r="D167" i="6" s="1"/>
  <c r="P195" i="2"/>
  <c r="D195" i="6" s="1"/>
  <c r="B85" i="6"/>
  <c r="P85" i="2"/>
  <c r="D85" i="6" s="1"/>
  <c r="O85" i="2"/>
  <c r="C85" i="6" s="1"/>
  <c r="B190" i="6"/>
  <c r="P190" i="2"/>
  <c r="D190" i="6" s="1"/>
  <c r="O190" i="2"/>
  <c r="C190" i="6" s="1"/>
  <c r="P69" i="2"/>
  <c r="D69" i="6" s="1"/>
  <c r="B74" i="6"/>
  <c r="U74" i="2"/>
  <c r="J74" i="6" s="1"/>
  <c r="B77" i="6"/>
  <c r="U77" i="2"/>
  <c r="J77" i="6" s="1"/>
  <c r="O94" i="2"/>
  <c r="C94" i="6" s="1"/>
  <c r="O109" i="2"/>
  <c r="C109" i="6" s="1"/>
  <c r="P134" i="2"/>
  <c r="D134" i="6" s="1"/>
  <c r="B134" i="6"/>
  <c r="O166" i="2"/>
  <c r="C166" i="6" s="1"/>
  <c r="U185" i="2"/>
  <c r="J185" i="6" s="1"/>
  <c r="K8" i="6"/>
  <c r="B33" i="6"/>
  <c r="U33" i="2"/>
  <c r="J33" i="6" s="1"/>
  <c r="U57" i="2"/>
  <c r="J57" i="6" s="1"/>
  <c r="O74" i="2"/>
  <c r="C74" i="6" s="1"/>
  <c r="P90" i="2"/>
  <c r="D90" i="6" s="1"/>
  <c r="P94" i="2"/>
  <c r="D94" i="6" s="1"/>
  <c r="U101" i="2"/>
  <c r="J101" i="6" s="1"/>
  <c r="P106" i="2"/>
  <c r="D106" i="6" s="1"/>
  <c r="P109" i="2"/>
  <c r="D109" i="6" s="1"/>
  <c r="O113" i="2"/>
  <c r="C113" i="6" s="1"/>
  <c r="P138" i="2"/>
  <c r="D138" i="6" s="1"/>
  <c r="U142" i="2"/>
  <c r="J142" i="6" s="1"/>
  <c r="P162" i="2"/>
  <c r="D162" i="6" s="1"/>
  <c r="P166" i="2"/>
  <c r="D166" i="6" s="1"/>
  <c r="U169" i="2"/>
  <c r="J169" i="6" s="1"/>
  <c r="U178" i="2"/>
  <c r="J178" i="6" s="1"/>
  <c r="P182" i="2"/>
  <c r="D182" i="6" s="1"/>
  <c r="B182" i="6"/>
  <c r="U182" i="2"/>
  <c r="J182" i="6" s="1"/>
  <c r="U190" i="2"/>
  <c r="J190" i="6" s="1"/>
  <c r="O38" i="2"/>
  <c r="C38" i="6" s="1"/>
  <c r="P45" i="2"/>
  <c r="D45" i="6" s="1"/>
  <c r="O118" i="2"/>
  <c r="C118" i="6" s="1"/>
  <c r="O129" i="2"/>
  <c r="C129" i="6" s="1"/>
  <c r="P143" i="2"/>
  <c r="D143" i="6" s="1"/>
  <c r="P154" i="2"/>
  <c r="D154" i="6" s="1"/>
  <c r="O168" i="2"/>
  <c r="C168" i="6" s="1"/>
  <c r="P186" i="2"/>
  <c r="D186" i="6" s="1"/>
  <c r="P200" i="2"/>
  <c r="D200" i="6" s="1"/>
  <c r="O8" i="2"/>
  <c r="C8" i="6" s="1"/>
  <c r="P23" i="2"/>
  <c r="D23" i="6" s="1"/>
  <c r="P71" i="2"/>
  <c r="D71" i="6" s="1"/>
  <c r="P104" i="2"/>
  <c r="D104" i="6" s="1"/>
  <c r="U110" i="2"/>
  <c r="J110" i="6" s="1"/>
  <c r="P114" i="2"/>
  <c r="D114" i="6" s="1"/>
  <c r="P118" i="2"/>
  <c r="D118" i="6" s="1"/>
  <c r="P121" i="2"/>
  <c r="D121" i="6" s="1"/>
  <c r="P129" i="2"/>
  <c r="D129" i="6" s="1"/>
  <c r="O161" i="2"/>
  <c r="C161" i="6" s="1"/>
  <c r="P168" i="2"/>
  <c r="D168" i="6" s="1"/>
  <c r="P176" i="2"/>
  <c r="D176" i="6" s="1"/>
  <c r="U193" i="2"/>
  <c r="J193" i="6" s="1"/>
  <c r="B45" i="6"/>
  <c r="B103" i="6"/>
  <c r="O103" i="2"/>
  <c r="C103" i="6" s="1"/>
  <c r="B127" i="6"/>
  <c r="O127" i="2"/>
  <c r="C127" i="6" s="1"/>
  <c r="O7" i="2"/>
  <c r="C7" i="6" s="1"/>
  <c r="O67" i="2"/>
  <c r="C67" i="6" s="1"/>
  <c r="O165" i="2"/>
  <c r="C165" i="6" s="1"/>
  <c r="O12" i="2"/>
  <c r="C12" i="6" s="1"/>
  <c r="P19" i="2"/>
  <c r="D19" i="6" s="1"/>
  <c r="O36" i="2"/>
  <c r="C36" i="6" s="1"/>
  <c r="P55" i="2"/>
  <c r="D55" i="6" s="1"/>
  <c r="O60" i="2"/>
  <c r="C60" i="6" s="1"/>
  <c r="P67" i="2"/>
  <c r="D67" i="6" s="1"/>
  <c r="O72" i="2"/>
  <c r="C72" i="6" s="1"/>
  <c r="O92" i="2"/>
  <c r="C92" i="6" s="1"/>
  <c r="O102" i="2"/>
  <c r="C102" i="6" s="1"/>
  <c r="O107" i="2"/>
  <c r="C107" i="6" s="1"/>
  <c r="O112" i="2"/>
  <c r="C112" i="6" s="1"/>
  <c r="P117" i="2"/>
  <c r="D117" i="6" s="1"/>
  <c r="O140" i="2"/>
  <c r="C140" i="6" s="1"/>
  <c r="O150" i="2"/>
  <c r="C150" i="6" s="1"/>
  <c r="O155" i="2"/>
  <c r="C155" i="6" s="1"/>
  <c r="O160" i="2"/>
  <c r="C160" i="6" s="1"/>
  <c r="P165" i="2"/>
  <c r="D165" i="6" s="1"/>
  <c r="O188" i="2"/>
  <c r="C188" i="6" s="1"/>
  <c r="B11" i="6"/>
  <c r="B5" i="1"/>
  <c r="U11" i="2"/>
  <c r="J11" i="6" s="1"/>
  <c r="B79" i="6"/>
  <c r="O79" i="2"/>
  <c r="C79" i="6" s="1"/>
  <c r="O19" i="2"/>
  <c r="C19" i="6" s="1"/>
  <c r="O31" i="2"/>
  <c r="C31" i="6" s="1"/>
  <c r="O43" i="2"/>
  <c r="C43" i="6" s="1"/>
  <c r="O55" i="2"/>
  <c r="C55" i="6" s="1"/>
  <c r="O117" i="2"/>
  <c r="C117" i="6" s="1"/>
  <c r="P122" i="2"/>
  <c r="D122" i="6" s="1"/>
  <c r="B122" i="6"/>
  <c r="P127" i="2"/>
  <c r="D127" i="6" s="1"/>
  <c r="K4" i="6"/>
  <c r="P7" i="2"/>
  <c r="D7" i="6" s="1"/>
  <c r="O24" i="2"/>
  <c r="C24" i="6" s="1"/>
  <c r="P31" i="2"/>
  <c r="D31" i="6" s="1"/>
  <c r="P43" i="2"/>
  <c r="D43" i="6" s="1"/>
  <c r="O5" i="2"/>
  <c r="C5" i="6" s="1"/>
  <c r="O17" i="2"/>
  <c r="P24" i="2"/>
  <c r="D24" i="6" s="1"/>
  <c r="O29" i="2"/>
  <c r="C29" i="6" s="1"/>
  <c r="P36" i="2"/>
  <c r="D36" i="6" s="1"/>
  <c r="O41" i="2"/>
  <c r="C41" i="6" s="1"/>
  <c r="P48" i="2"/>
  <c r="D48" i="6" s="1"/>
  <c r="O53" i="2"/>
  <c r="C53" i="6" s="1"/>
  <c r="P60" i="2"/>
  <c r="D60" i="6" s="1"/>
  <c r="O65" i="2"/>
  <c r="C65" i="6" s="1"/>
  <c r="P72" i="2"/>
  <c r="D72" i="6" s="1"/>
  <c r="O77" i="2"/>
  <c r="C77" i="6" s="1"/>
  <c r="U79" i="2"/>
  <c r="J79" i="6" s="1"/>
  <c r="O82" i="2"/>
  <c r="C82" i="6" s="1"/>
  <c r="O87" i="2"/>
  <c r="C87" i="6" s="1"/>
  <c r="P92" i="2"/>
  <c r="D92" i="6" s="1"/>
  <c r="O97" i="2"/>
  <c r="C97" i="6" s="1"/>
  <c r="P102" i="2"/>
  <c r="D102" i="6" s="1"/>
  <c r="P107" i="2"/>
  <c r="D107" i="6" s="1"/>
  <c r="P112" i="2"/>
  <c r="D112" i="6" s="1"/>
  <c r="B115" i="6"/>
  <c r="O115" i="2"/>
  <c r="C115" i="6" s="1"/>
  <c r="O125" i="2"/>
  <c r="C125" i="6" s="1"/>
  <c r="U127" i="2"/>
  <c r="J127" i="6" s="1"/>
  <c r="O130" i="2"/>
  <c r="C130" i="6" s="1"/>
  <c r="O135" i="2"/>
  <c r="C135" i="6" s="1"/>
  <c r="P140" i="2"/>
  <c r="D140" i="6" s="1"/>
  <c r="O145" i="2"/>
  <c r="C145" i="6" s="1"/>
  <c r="P150" i="2"/>
  <c r="D150" i="6" s="1"/>
  <c r="P155" i="2"/>
  <c r="D155" i="6" s="1"/>
  <c r="P160" i="2"/>
  <c r="D160" i="6" s="1"/>
  <c r="B163" i="6"/>
  <c r="O163" i="2"/>
  <c r="C163" i="6" s="1"/>
  <c r="O173" i="2"/>
  <c r="C173" i="6" s="1"/>
  <c r="O178" i="2"/>
  <c r="C178" i="6" s="1"/>
  <c r="O183" i="2"/>
  <c r="C183" i="6" s="1"/>
  <c r="P188" i="2"/>
  <c r="D188" i="6" s="1"/>
  <c r="O193" i="2"/>
  <c r="C193" i="6" s="1"/>
  <c r="B5" i="6"/>
  <c r="B193" i="6"/>
  <c r="B25" i="6"/>
  <c r="B175" i="6"/>
  <c r="O175" i="2"/>
  <c r="C175" i="6" s="1"/>
  <c r="P170" i="2"/>
  <c r="D170" i="6" s="1"/>
  <c r="B170" i="6"/>
  <c r="P175" i="2"/>
  <c r="D175" i="6" s="1"/>
  <c r="B198" i="6"/>
  <c r="P198" i="2"/>
  <c r="D198" i="6" s="1"/>
  <c r="O48" i="2"/>
  <c r="C48" i="6" s="1"/>
  <c r="P12" i="2"/>
  <c r="D12" i="6" s="1"/>
  <c r="U7" i="2"/>
  <c r="J7" i="6" s="1"/>
  <c r="O10" i="2"/>
  <c r="C10" i="6" s="1"/>
  <c r="P17" i="2"/>
  <c r="D17" i="6" s="1"/>
  <c r="U19" i="2"/>
  <c r="J19" i="6" s="1"/>
  <c r="O22" i="2"/>
  <c r="C22" i="6" s="1"/>
  <c r="P29" i="2"/>
  <c r="D29" i="6" s="1"/>
  <c r="U31" i="2"/>
  <c r="J31" i="6" s="1"/>
  <c r="O34" i="2"/>
  <c r="C34" i="6" s="1"/>
  <c r="P41" i="2"/>
  <c r="D41" i="6" s="1"/>
  <c r="U43" i="2"/>
  <c r="J43" i="6" s="1"/>
  <c r="O46" i="2"/>
  <c r="C46" i="6" s="1"/>
  <c r="P53" i="2"/>
  <c r="D53" i="6" s="1"/>
  <c r="U55" i="2"/>
  <c r="J55" i="6" s="1"/>
  <c r="O58" i="2"/>
  <c r="C58" i="6" s="1"/>
  <c r="P65" i="2"/>
  <c r="D65" i="6" s="1"/>
  <c r="U67" i="2"/>
  <c r="J67" i="6" s="1"/>
  <c r="O70" i="2"/>
  <c r="C70" i="6" s="1"/>
  <c r="P77" i="2"/>
  <c r="D77" i="6" s="1"/>
  <c r="P82" i="2"/>
  <c r="D82" i="6" s="1"/>
  <c r="P87" i="2"/>
  <c r="D87" i="6" s="1"/>
  <c r="P97" i="2"/>
  <c r="D97" i="6" s="1"/>
  <c r="U100" i="2"/>
  <c r="J100" i="6" s="1"/>
  <c r="B100" i="6"/>
  <c r="O105" i="2"/>
  <c r="C105" i="6" s="1"/>
  <c r="P115" i="2"/>
  <c r="D115" i="6" s="1"/>
  <c r="U117" i="2"/>
  <c r="J117" i="6" s="1"/>
  <c r="U122" i="2"/>
  <c r="J122" i="6" s="1"/>
  <c r="P125" i="2"/>
  <c r="D125" i="6" s="1"/>
  <c r="P130" i="2"/>
  <c r="D130" i="6" s="1"/>
  <c r="P135" i="2"/>
  <c r="D135" i="6" s="1"/>
  <c r="P145" i="2"/>
  <c r="D145" i="6" s="1"/>
  <c r="U148" i="2"/>
  <c r="J148" i="6" s="1"/>
  <c r="B148" i="6"/>
  <c r="O153" i="2"/>
  <c r="C153" i="6" s="1"/>
  <c r="P163" i="2"/>
  <c r="D163" i="6" s="1"/>
  <c r="U165" i="2"/>
  <c r="J165" i="6" s="1"/>
  <c r="U170" i="2"/>
  <c r="J170" i="6" s="1"/>
  <c r="P173" i="2"/>
  <c r="D173" i="6" s="1"/>
  <c r="P178" i="2"/>
  <c r="D178" i="6" s="1"/>
  <c r="P183" i="2"/>
  <c r="D183" i="6" s="1"/>
  <c r="U198" i="2"/>
  <c r="J198" i="6" s="1"/>
  <c r="B34" i="6"/>
  <c r="B49" i="6"/>
  <c r="B179" i="6"/>
  <c r="O3" i="2"/>
  <c r="P10" i="2"/>
  <c r="D10" i="6" s="1"/>
  <c r="U12" i="2"/>
  <c r="J12" i="6" s="1"/>
  <c r="O15" i="2"/>
  <c r="C15" i="6" s="1"/>
  <c r="P22" i="2"/>
  <c r="D22" i="6" s="1"/>
  <c r="U24" i="2"/>
  <c r="J24" i="6" s="1"/>
  <c r="O27" i="2"/>
  <c r="C27" i="6" s="1"/>
  <c r="U36" i="2"/>
  <c r="J36" i="6" s="1"/>
  <c r="O39" i="2"/>
  <c r="C39" i="6" s="1"/>
  <c r="P46" i="2"/>
  <c r="D46" i="6" s="1"/>
  <c r="U48" i="2"/>
  <c r="J48" i="6" s="1"/>
  <c r="O51" i="2"/>
  <c r="C51" i="6" s="1"/>
  <c r="P58" i="2"/>
  <c r="D58" i="6" s="1"/>
  <c r="U60" i="2"/>
  <c r="J60" i="6" s="1"/>
  <c r="O63" i="2"/>
  <c r="C63" i="6" s="1"/>
  <c r="P70" i="2"/>
  <c r="D70" i="6" s="1"/>
  <c r="U72" i="2"/>
  <c r="J72" i="6" s="1"/>
  <c r="O75" i="2"/>
  <c r="C75" i="6" s="1"/>
  <c r="O80" i="2"/>
  <c r="C80" i="6" s="1"/>
  <c r="O90" i="2"/>
  <c r="C90" i="6" s="1"/>
  <c r="U92" i="2"/>
  <c r="J92" i="6" s="1"/>
  <c r="O95" i="2"/>
  <c r="C95" i="6" s="1"/>
  <c r="O100" i="2"/>
  <c r="C100" i="6" s="1"/>
  <c r="U102" i="2"/>
  <c r="J102" i="6" s="1"/>
  <c r="P105" i="2"/>
  <c r="D105" i="6" s="1"/>
  <c r="O110" i="2"/>
  <c r="C110" i="6" s="1"/>
  <c r="O128" i="2"/>
  <c r="C128" i="6" s="1"/>
  <c r="O138" i="2"/>
  <c r="C138" i="6" s="1"/>
  <c r="U140" i="2"/>
  <c r="J140" i="6" s="1"/>
  <c r="O143" i="2"/>
  <c r="C143" i="6" s="1"/>
  <c r="O148" i="2"/>
  <c r="C148" i="6" s="1"/>
  <c r="U150" i="2"/>
  <c r="J150" i="6" s="1"/>
  <c r="P153" i="2"/>
  <c r="D153" i="6" s="1"/>
  <c r="U155" i="2"/>
  <c r="J155" i="6" s="1"/>
  <c r="O158" i="2"/>
  <c r="C158" i="6" s="1"/>
  <c r="O176" i="2"/>
  <c r="C176" i="6" s="1"/>
  <c r="O186" i="2"/>
  <c r="C186" i="6" s="1"/>
  <c r="U188" i="2"/>
  <c r="J188" i="6" s="1"/>
  <c r="O191" i="2"/>
  <c r="C191" i="6" s="1"/>
  <c r="B73" i="6"/>
  <c r="B131" i="6"/>
  <c r="B158" i="6"/>
  <c r="P13" i="2"/>
  <c r="D13" i="6" s="1"/>
  <c r="U15" i="2"/>
  <c r="J15" i="6" s="1"/>
  <c r="O18" i="2"/>
  <c r="C18" i="6" s="1"/>
  <c r="P25" i="2"/>
  <c r="D25" i="6" s="1"/>
  <c r="U27" i="2"/>
  <c r="J27" i="6" s="1"/>
  <c r="O30" i="2"/>
  <c r="C30" i="6" s="1"/>
  <c r="P37" i="2"/>
  <c r="D37" i="6" s="1"/>
  <c r="U39" i="2"/>
  <c r="J39" i="6" s="1"/>
  <c r="O42" i="2"/>
  <c r="C42" i="6" s="1"/>
  <c r="P49" i="2"/>
  <c r="D49" i="6" s="1"/>
  <c r="O54" i="2"/>
  <c r="C54" i="6" s="1"/>
  <c r="P61" i="2"/>
  <c r="D61" i="6" s="1"/>
  <c r="U63" i="2"/>
  <c r="J63" i="6" s="1"/>
  <c r="O66" i="2"/>
  <c r="C66" i="6" s="1"/>
  <c r="P73" i="2"/>
  <c r="D73" i="6" s="1"/>
  <c r="U75" i="2"/>
  <c r="J75" i="6" s="1"/>
  <c r="O78" i="2"/>
  <c r="C78" i="6" s="1"/>
  <c r="U80" i="2"/>
  <c r="J80" i="6" s="1"/>
  <c r="O83" i="2"/>
  <c r="C83" i="6" s="1"/>
  <c r="O88" i="2"/>
  <c r="C88" i="6" s="1"/>
  <c r="U90" i="2"/>
  <c r="J90" i="6" s="1"/>
  <c r="P93" i="2"/>
  <c r="D93" i="6" s="1"/>
  <c r="U95" i="2"/>
  <c r="J95" i="6" s="1"/>
  <c r="O116" i="2"/>
  <c r="C116" i="6" s="1"/>
  <c r="O126" i="2"/>
  <c r="C126" i="6" s="1"/>
  <c r="U128" i="2"/>
  <c r="J128" i="6" s="1"/>
  <c r="O131" i="2"/>
  <c r="C131" i="6" s="1"/>
  <c r="O136" i="2"/>
  <c r="C136" i="6" s="1"/>
  <c r="U138" i="2"/>
  <c r="J138" i="6" s="1"/>
  <c r="P141" i="2"/>
  <c r="D141" i="6" s="1"/>
  <c r="U143" i="2"/>
  <c r="J143" i="6" s="1"/>
  <c r="O164" i="2"/>
  <c r="C164" i="6" s="1"/>
  <c r="O174" i="2"/>
  <c r="C174" i="6" s="1"/>
  <c r="U176" i="2"/>
  <c r="J176" i="6" s="1"/>
  <c r="O179" i="2"/>
  <c r="C179" i="6" s="1"/>
  <c r="O184" i="2"/>
  <c r="C184" i="6" s="1"/>
  <c r="U186" i="2"/>
  <c r="J186" i="6" s="1"/>
  <c r="P189" i="2"/>
  <c r="D189" i="6" s="1"/>
  <c r="U191" i="2"/>
  <c r="J191" i="6" s="1"/>
  <c r="B123" i="6"/>
  <c r="B136" i="6"/>
  <c r="B160" i="6"/>
  <c r="B189" i="6"/>
  <c r="B151" i="6"/>
  <c r="O151" i="2"/>
  <c r="C151" i="6" s="1"/>
  <c r="O13" i="2"/>
  <c r="C13" i="6" s="1"/>
  <c r="O25" i="2"/>
  <c r="C25" i="6" s="1"/>
  <c r="O37" i="2"/>
  <c r="C37" i="6" s="1"/>
  <c r="O49" i="2"/>
  <c r="C49" i="6" s="1"/>
  <c r="O61" i="2"/>
  <c r="C61" i="6" s="1"/>
  <c r="O73" i="2"/>
  <c r="C73" i="6" s="1"/>
  <c r="O93" i="2"/>
  <c r="C93" i="6" s="1"/>
  <c r="B98" i="6"/>
  <c r="P98" i="2"/>
  <c r="D98" i="6" s="1"/>
  <c r="P103" i="2"/>
  <c r="D103" i="6" s="1"/>
  <c r="O141" i="2"/>
  <c r="C141" i="6" s="1"/>
  <c r="B146" i="6"/>
  <c r="P146" i="2"/>
  <c r="D146" i="6" s="1"/>
  <c r="P151" i="2"/>
  <c r="D151" i="6" s="1"/>
  <c r="O189" i="2"/>
  <c r="C189" i="6" s="1"/>
  <c r="B194" i="6"/>
  <c r="P194" i="2"/>
  <c r="D194" i="6" s="1"/>
  <c r="K2" i="6"/>
  <c r="B37" i="6"/>
  <c r="B184" i="6"/>
  <c r="O6" i="2"/>
  <c r="C6" i="6" s="1"/>
  <c r="P6" i="2"/>
  <c r="D6" i="6" s="1"/>
  <c r="U8" i="2"/>
  <c r="J8" i="6" s="1"/>
  <c r="O11" i="2"/>
  <c r="C11" i="6" s="1"/>
  <c r="P18" i="2"/>
  <c r="D18" i="6" s="1"/>
  <c r="U20" i="2"/>
  <c r="J20" i="6" s="1"/>
  <c r="O23" i="2"/>
  <c r="C23" i="6" s="1"/>
  <c r="P30" i="2"/>
  <c r="D30" i="6" s="1"/>
  <c r="P42" i="2"/>
  <c r="D42" i="6" s="1"/>
  <c r="U44" i="2"/>
  <c r="J44" i="6" s="1"/>
  <c r="P54" i="2"/>
  <c r="D54" i="6" s="1"/>
  <c r="U56" i="2"/>
  <c r="J56" i="6" s="1"/>
  <c r="P66" i="2"/>
  <c r="D66" i="6" s="1"/>
  <c r="U68" i="2"/>
  <c r="J68" i="6" s="1"/>
  <c r="O71" i="2"/>
  <c r="C71" i="6" s="1"/>
  <c r="P78" i="2"/>
  <c r="D78" i="6" s="1"/>
  <c r="P83" i="2"/>
  <c r="D83" i="6" s="1"/>
  <c r="U85" i="2"/>
  <c r="J85" i="6" s="1"/>
  <c r="P88" i="2"/>
  <c r="D88" i="6" s="1"/>
  <c r="B91" i="6"/>
  <c r="O91" i="2"/>
  <c r="C91" i="6" s="1"/>
  <c r="O101" i="2"/>
  <c r="C101" i="6" s="1"/>
  <c r="U103" i="2"/>
  <c r="J103" i="6" s="1"/>
  <c r="O106" i="2"/>
  <c r="C106" i="6" s="1"/>
  <c r="O111" i="2"/>
  <c r="C111" i="6" s="1"/>
  <c r="U113" i="2"/>
  <c r="J113" i="6" s="1"/>
  <c r="P116" i="2"/>
  <c r="D116" i="6" s="1"/>
  <c r="U118" i="2"/>
  <c r="J118" i="6" s="1"/>
  <c r="P126" i="2"/>
  <c r="D126" i="6" s="1"/>
  <c r="P131" i="2"/>
  <c r="D131" i="6" s="1"/>
  <c r="U133" i="2"/>
  <c r="J133" i="6" s="1"/>
  <c r="P136" i="2"/>
  <c r="D136" i="6" s="1"/>
  <c r="B139" i="6"/>
  <c r="O139" i="2"/>
  <c r="C139" i="6" s="1"/>
  <c r="O149" i="2"/>
  <c r="C149" i="6" s="1"/>
  <c r="U151" i="2"/>
  <c r="J151" i="6" s="1"/>
  <c r="O154" i="2"/>
  <c r="C154" i="6" s="1"/>
  <c r="O159" i="2"/>
  <c r="C159" i="6" s="1"/>
  <c r="U161" i="2"/>
  <c r="J161" i="6" s="1"/>
  <c r="P164" i="2"/>
  <c r="D164" i="6" s="1"/>
  <c r="U166" i="2"/>
  <c r="J166" i="6" s="1"/>
  <c r="P174" i="2"/>
  <c r="D174" i="6" s="1"/>
  <c r="P179" i="2"/>
  <c r="D179" i="6" s="1"/>
  <c r="U181" i="2"/>
  <c r="J181" i="6" s="1"/>
  <c r="P184" i="2"/>
  <c r="D184" i="6" s="1"/>
  <c r="B187" i="6"/>
  <c r="O187" i="2"/>
  <c r="C187" i="6" s="1"/>
  <c r="O200" i="2"/>
  <c r="C200" i="6" s="1"/>
  <c r="B88" i="6"/>
  <c r="B112" i="6"/>
  <c r="B141" i="6"/>
  <c r="U13" i="2"/>
  <c r="J13" i="6" s="1"/>
  <c r="U61" i="2"/>
  <c r="J61" i="6" s="1"/>
  <c r="U93" i="2"/>
  <c r="J93" i="6" s="1"/>
  <c r="U98" i="2"/>
  <c r="J98" i="6" s="1"/>
  <c r="B124" i="6"/>
  <c r="U124" i="2"/>
  <c r="J124" i="6" s="1"/>
  <c r="U146" i="2"/>
  <c r="J146" i="6" s="1"/>
  <c r="B172" i="6"/>
  <c r="U172" i="2"/>
  <c r="J172" i="6" s="1"/>
  <c r="U194" i="2"/>
  <c r="J194" i="6" s="1"/>
  <c r="B9" i="6"/>
  <c r="B21" i="6"/>
  <c r="U6" i="2"/>
  <c r="J6" i="6" s="1"/>
  <c r="U18" i="2"/>
  <c r="J18" i="6" s="1"/>
  <c r="U30" i="2"/>
  <c r="J30" i="6" s="1"/>
  <c r="O33" i="2"/>
  <c r="C33" i="6" s="1"/>
  <c r="U42" i="2"/>
  <c r="J42" i="6" s="1"/>
  <c r="U54" i="2"/>
  <c r="J54" i="6" s="1"/>
  <c r="O57" i="2"/>
  <c r="C57" i="6" s="1"/>
  <c r="U66" i="2"/>
  <c r="J66" i="6" s="1"/>
  <c r="O69" i="2"/>
  <c r="C69" i="6" s="1"/>
  <c r="U78" i="2"/>
  <c r="J78" i="6" s="1"/>
  <c r="O86" i="2"/>
  <c r="C86" i="6" s="1"/>
  <c r="O104" i="2"/>
  <c r="C104" i="6" s="1"/>
  <c r="O114" i="2"/>
  <c r="C114" i="6" s="1"/>
  <c r="U116" i="2"/>
  <c r="J116" i="6" s="1"/>
  <c r="O119" i="2"/>
  <c r="C119" i="6" s="1"/>
  <c r="O124" i="2"/>
  <c r="C124" i="6" s="1"/>
  <c r="U126" i="2"/>
  <c r="J126" i="6" s="1"/>
  <c r="O134" i="2"/>
  <c r="C134" i="6" s="1"/>
  <c r="O152" i="2"/>
  <c r="C152" i="6" s="1"/>
  <c r="O162" i="2"/>
  <c r="C162" i="6" s="1"/>
  <c r="U164" i="2"/>
  <c r="J164" i="6" s="1"/>
  <c r="O167" i="2"/>
  <c r="C167" i="6" s="1"/>
  <c r="O172" i="2"/>
  <c r="C172" i="6" s="1"/>
  <c r="U174" i="2"/>
  <c r="J174" i="6" s="1"/>
  <c r="O182" i="2"/>
  <c r="C182" i="6" s="1"/>
  <c r="B196" i="6"/>
  <c r="O199" i="2"/>
  <c r="C199" i="6" s="1"/>
  <c r="P199" i="2"/>
  <c r="D199" i="6" s="1"/>
  <c r="A31" i="1" l="1"/>
  <c r="A28" i="1"/>
  <c r="C17" i="6"/>
  <c r="A32" i="1"/>
  <c r="C32" i="1" s="1"/>
  <c r="A27" i="1"/>
  <c r="A29" i="1"/>
  <c r="A30" i="1"/>
  <c r="H17" i="8"/>
  <c r="H16" i="8"/>
  <c r="H15" i="8"/>
  <c r="H13" i="8"/>
  <c r="H14" i="8"/>
  <c r="H12" i="8"/>
  <c r="C3" i="6"/>
  <c r="B6" i="1"/>
  <c r="B8" i="1"/>
  <c r="B7" i="1"/>
  <c r="C31" i="1" l="1"/>
  <c r="D31" i="1" s="1"/>
  <c r="C28" i="1"/>
  <c r="C30" i="1"/>
  <c r="C29" i="1"/>
  <c r="D32" i="1"/>
  <c r="E32" i="1"/>
  <c r="F32" i="1" s="1"/>
  <c r="B10" i="1"/>
  <c r="J14" i="8"/>
  <c r="K14" i="8" s="1"/>
  <c r="I14" i="8"/>
  <c r="J13" i="8"/>
  <c r="K13" i="8" s="1"/>
  <c r="I13" i="8"/>
  <c r="J15" i="8"/>
  <c r="K15" i="8" s="1"/>
  <c r="I15" i="8"/>
  <c r="J16" i="8"/>
  <c r="K16" i="8" s="1"/>
  <c r="I16" i="8"/>
  <c r="J17" i="8"/>
  <c r="K17" i="8" s="1"/>
  <c r="I17" i="8"/>
  <c r="I12" i="8"/>
  <c r="J12" i="8"/>
  <c r="K12" i="8" s="1"/>
  <c r="E31" i="1" l="1"/>
  <c r="F31" i="1" s="1"/>
  <c r="D27" i="1"/>
  <c r="E27" i="1"/>
  <c r="D29" i="1"/>
  <c r="E29" i="1"/>
  <c r="F29" i="1" s="1"/>
  <c r="D30" i="1"/>
  <c r="E30" i="1"/>
  <c r="F30" i="1" s="1"/>
  <c r="D28" i="1"/>
  <c r="E28" i="1"/>
  <c r="F28" i="1" s="1"/>
  <c r="K10" i="8"/>
  <c r="J10" i="8"/>
  <c r="F27" i="1" l="1"/>
  <c r="F25" i="1" s="1"/>
  <c r="E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<sst xmlns="http://schemas.openxmlformats.org/spreadsheetml/2006/main" count="497" uniqueCount="232">
  <si>
    <t>MVP Manutenção Predial — Apartamento / Estudo de Caso</t>
  </si>
  <si>
    <t>Indicador</t>
  </si>
  <si>
    <t>Valor</t>
  </si>
  <si>
    <t>Custo por sistema</t>
  </si>
  <si>
    <t>Custo por ambiente</t>
  </si>
  <si>
    <t>Total de ativos cadastrados</t>
  </si>
  <si>
    <t>Sistema</t>
  </si>
  <si>
    <t>Custo previsto</t>
  </si>
  <si>
    <t>Ambiente</t>
  </si>
  <si>
    <t>Custo total previsto</t>
  </si>
  <si>
    <t>Climatização</t>
  </si>
  <si>
    <t>Suíte 1</t>
  </si>
  <si>
    <t>Itens vencidos</t>
  </si>
  <si>
    <t>Drenagem</t>
  </si>
  <si>
    <t>Banheiro suíte 1</t>
  </si>
  <si>
    <t>Próximos 30 dias</t>
  </si>
  <si>
    <t>Elétrico</t>
  </si>
  <si>
    <t>Suíte 2</t>
  </si>
  <si>
    <t>Próximos 90 dias</t>
  </si>
  <si>
    <t>Esgoto</t>
  </si>
  <si>
    <t>Banheiro suíte 2</t>
  </si>
  <si>
    <t>Esquadrias</t>
  </si>
  <si>
    <t>Suíte 3</t>
  </si>
  <si>
    <t>Gás</t>
  </si>
  <si>
    <t>Banheiro suíte 3</t>
  </si>
  <si>
    <t>Custo por ano</t>
  </si>
  <si>
    <t>Hidráulico</t>
  </si>
  <si>
    <t>Escritório 1</t>
  </si>
  <si>
    <t>Ano</t>
  </si>
  <si>
    <t>Iluminação</t>
  </si>
  <si>
    <t>Escritório 2</t>
  </si>
  <si>
    <t>Marcenaria</t>
  </si>
  <si>
    <t>Sala</t>
  </si>
  <si>
    <t>Pintura</t>
  </si>
  <si>
    <t>Varanda</t>
  </si>
  <si>
    <t>Revestimentos</t>
  </si>
  <si>
    <t>Lavabo</t>
  </si>
  <si>
    <t>Segurança/acesso</t>
  </si>
  <si>
    <t>Copa/cozinha</t>
  </si>
  <si>
    <t>Área de serviço</t>
  </si>
  <si>
    <t>Suíte dependência</t>
  </si>
  <si>
    <t>Banheiro dependência</t>
  </si>
  <si>
    <t>Como usar esta planilha</t>
  </si>
  <si>
    <t>1. Preencha a aba Ativos, uma linha por componente manutenível.</t>
  </si>
  <si>
    <t>2. Cadastre novos cômodos em Ambientes e novas rotinas em Rotinas.</t>
  </si>
  <si>
    <t>3. A Próxima_manut, Ano, Mês, Custo_total e Status são calculados automaticamente.</t>
  </si>
  <si>
    <t>4. Use filtros/tabelas dinâmicas a partir de Ativos ou Cronograma.</t>
  </si>
  <si>
    <t>5. Para o app futuro, esta aba Ativos já funciona como protótipo do banco de dados.</t>
  </si>
  <si>
    <t>ID</t>
  </si>
  <si>
    <t>Cod_ambiente</t>
  </si>
  <si>
    <t>Zona</t>
  </si>
  <si>
    <t>Subsistema</t>
  </si>
  <si>
    <t>Ativo</t>
  </si>
  <si>
    <t>Componente</t>
  </si>
  <si>
    <t>Ação_prevista</t>
  </si>
  <si>
    <t>Quantidade</t>
  </si>
  <si>
    <t>Unidade</t>
  </si>
  <si>
    <t>Periodicidade_meses</t>
  </si>
  <si>
    <t>Última_manut</t>
  </si>
  <si>
    <t>Próxima_manut</t>
  </si>
  <si>
    <t>Mês</t>
  </si>
  <si>
    <t>Custo_unitário_estimado</t>
  </si>
  <si>
    <t>Custo_total_estimado</t>
  </si>
  <si>
    <t>Prioridade</t>
  </si>
  <si>
    <t>Estado</t>
  </si>
  <si>
    <t>Status</t>
  </si>
  <si>
    <t>Responsável</t>
  </si>
  <si>
    <t>Observações</t>
  </si>
  <si>
    <t>HID-S2B-001</t>
  </si>
  <si>
    <t>S2B</t>
  </si>
  <si>
    <t>Área íntima</t>
  </si>
  <si>
    <t>Água fria</t>
  </si>
  <si>
    <t>Lavatório</t>
  </si>
  <si>
    <t>Torneira</t>
  </si>
  <si>
    <t>Inspeção / troca de reparo</t>
  </si>
  <si>
    <t>un</t>
  </si>
  <si>
    <t>Média</t>
  </si>
  <si>
    <t>Bom</t>
  </si>
  <si>
    <t>Encanador</t>
  </si>
  <si>
    <t>Exemplo: verificar gotejamento eventual</t>
  </si>
  <si>
    <t>ESG-S2B-001</t>
  </si>
  <si>
    <t>Esgoto sanitário</t>
  </si>
  <si>
    <t>Sifão</t>
  </si>
  <si>
    <t>Limpeza / inspeção</t>
  </si>
  <si>
    <t>Baixa</t>
  </si>
  <si>
    <t>HID-S2B-002</t>
  </si>
  <si>
    <t>Bacia sanitária</t>
  </si>
  <si>
    <t>Caixa acoplada / válvula</t>
  </si>
  <si>
    <t>Inspeção / regulagem</t>
  </si>
  <si>
    <t>CLI-SALA-001</t>
  </si>
  <si>
    <t>SALA</t>
  </si>
  <si>
    <t>Social</t>
  </si>
  <si>
    <t>Split</t>
  </si>
  <si>
    <t>Ar-condicionado</t>
  </si>
  <si>
    <t>Evaporadora / condensadora</t>
  </si>
  <si>
    <t>Limpeza preventiva</t>
  </si>
  <si>
    <t>Alta</t>
  </si>
  <si>
    <t>Regular</t>
  </si>
  <si>
    <t>Técnico de ar-condicionado</t>
  </si>
  <si>
    <t>CLI-S1-001</t>
  </si>
  <si>
    <t>S1</t>
  </si>
  <si>
    <t>CLI-S2-001</t>
  </si>
  <si>
    <t>S2</t>
  </si>
  <si>
    <t>CLI-S3-001</t>
  </si>
  <si>
    <t>S3</t>
  </si>
  <si>
    <t>ELE-APT-001</t>
  </si>
  <si>
    <t>Quadro</t>
  </si>
  <si>
    <t>Quadro elétrico</t>
  </si>
  <si>
    <t>Disjuntores</t>
  </si>
  <si>
    <t>Inspeção</t>
  </si>
  <si>
    <t>Eletricista</t>
  </si>
  <si>
    <t>Representa quadro geral do apartamento</t>
  </si>
  <si>
    <t>ELE-ESC1-001</t>
  </si>
  <si>
    <t>ESC1</t>
  </si>
  <si>
    <t>Trabalho</t>
  </si>
  <si>
    <t>Tomadas</t>
  </si>
  <si>
    <t>Tomadas gerais</t>
  </si>
  <si>
    <t>Conjunto de tomadas</t>
  </si>
  <si>
    <t>cj</t>
  </si>
  <si>
    <t>GAS-COPA-001</t>
  </si>
  <si>
    <t>COPA</t>
  </si>
  <si>
    <t>Serviço</t>
  </si>
  <si>
    <t>Tubulação/ponto</t>
  </si>
  <si>
    <t>Ponto de gás</t>
  </si>
  <si>
    <t>Mangueira / registro</t>
  </si>
  <si>
    <t>Inspeção / troca preventiva</t>
  </si>
  <si>
    <t>Técnico de gás</t>
  </si>
  <si>
    <t>PIN-SALA-001</t>
  </si>
  <si>
    <t>Interna</t>
  </si>
  <si>
    <t>Paredes internas</t>
  </si>
  <si>
    <t>Repintura</t>
  </si>
  <si>
    <t>serv</t>
  </si>
  <si>
    <t>Pintor</t>
  </si>
  <si>
    <t>Valor exemplo para sala</t>
  </si>
  <si>
    <t>REV-VAR-001</t>
  </si>
  <si>
    <t>VAR</t>
  </si>
  <si>
    <t>Piso</t>
  </si>
  <si>
    <t>Rejunte</t>
  </si>
  <si>
    <t>Inspeção / recomposição</t>
  </si>
  <si>
    <t>Pedreiro</t>
  </si>
  <si>
    <t>ESQ-VAR-001</t>
  </si>
  <si>
    <t>Janelas</t>
  </si>
  <si>
    <t>Esquadria da varanda</t>
  </si>
  <si>
    <t>Trilhos / roldanas</t>
  </si>
  <si>
    <t>Limpeza / regulagem</t>
  </si>
  <si>
    <t>Serralheiro</t>
  </si>
  <si>
    <t>MAR-COPA-001</t>
  </si>
  <si>
    <t>Armários</t>
  </si>
  <si>
    <t>Armários da cozinha</t>
  </si>
  <si>
    <t>Dobradiças / corrediças</t>
  </si>
  <si>
    <t>Regulagem</t>
  </si>
  <si>
    <t>Marceneiro</t>
  </si>
  <si>
    <t>Observação</t>
  </si>
  <si>
    <t>S1B</t>
  </si>
  <si>
    <t>S3B</t>
  </si>
  <si>
    <t>ESC2</t>
  </si>
  <si>
    <t>LAV</t>
  </si>
  <si>
    <t>SERV</t>
  </si>
  <si>
    <t>DEP</t>
  </si>
  <si>
    <t>DEPB</t>
  </si>
  <si>
    <t>Cod_sistema</t>
  </si>
  <si>
    <t>HID</t>
  </si>
  <si>
    <t>Água quente</t>
  </si>
  <si>
    <t>ESG</t>
  </si>
  <si>
    <t>DRE</t>
  </si>
  <si>
    <t>Ralos</t>
  </si>
  <si>
    <t>ELE</t>
  </si>
  <si>
    <t>ILU</t>
  </si>
  <si>
    <t>Luminárias</t>
  </si>
  <si>
    <t>CLI</t>
  </si>
  <si>
    <t>GAS</t>
  </si>
  <si>
    <t>PIN</t>
  </si>
  <si>
    <t>Externa</t>
  </si>
  <si>
    <t>REV</t>
  </si>
  <si>
    <t>Parede</t>
  </si>
  <si>
    <t>ESQ</t>
  </si>
  <si>
    <t>Portas</t>
  </si>
  <si>
    <t>MAR</t>
  </si>
  <si>
    <t>SEG</t>
  </si>
  <si>
    <t>Fechaduras</t>
  </si>
  <si>
    <t>Ação</t>
  </si>
  <si>
    <t>Custo_referencia</t>
  </si>
  <si>
    <t>Responsável_sugerido</t>
  </si>
  <si>
    <t>Chuveiro</t>
  </si>
  <si>
    <t>Registro / misturador</t>
  </si>
  <si>
    <t>Ralo</t>
  </si>
  <si>
    <t>Ralo / grelha</t>
  </si>
  <si>
    <t>Limpeza</t>
  </si>
  <si>
    <t>Luminária</t>
  </si>
  <si>
    <t>Lâmpadas / drivers</t>
  </si>
  <si>
    <t>Revisão / troca</t>
  </si>
  <si>
    <t>Janela</t>
  </si>
  <si>
    <t>Fechadura</t>
  </si>
  <si>
    <t>Fechadura / maçaneta</t>
  </si>
  <si>
    <t>Lubrificação / regulagem</t>
  </si>
  <si>
    <t>Chaveiro</t>
  </si>
  <si>
    <t>Vencido</t>
  </si>
  <si>
    <t>Próx. 30 dias</t>
  </si>
  <si>
    <t>Ruim</t>
  </si>
  <si>
    <t>Próx. 90 dias</t>
  </si>
  <si>
    <t>Crítica</t>
  </si>
  <si>
    <t>Desconhecido</t>
  </si>
  <si>
    <t>m²</t>
  </si>
  <si>
    <t>Programado</t>
  </si>
  <si>
    <t>m</t>
  </si>
  <si>
    <t>Sem data</t>
  </si>
  <si>
    <t>ponto</t>
  </si>
  <si>
    <t>OFC</t>
  </si>
  <si>
    <t>Oficina</t>
  </si>
  <si>
    <t>Zonas</t>
  </si>
  <si>
    <t>nao cadastrado</t>
  </si>
  <si>
    <t>criar gantt com custos</t>
  </si>
  <si>
    <t>soma:</t>
  </si>
  <si>
    <t>arrecadacao anual</t>
  </si>
  <si>
    <t>saldo</t>
  </si>
  <si>
    <t>total</t>
  </si>
  <si>
    <t>mensalidade condominio</t>
  </si>
  <si>
    <t>contribuicao por ano</t>
  </si>
  <si>
    <t>valor mensal</t>
  </si>
  <si>
    <t>periodo</t>
  </si>
  <si>
    <t>acumulado futuro</t>
  </si>
  <si>
    <t>por condomino</t>
  </si>
  <si>
    <t>fachada</t>
  </si>
  <si>
    <t>Externo</t>
  </si>
  <si>
    <t>publica</t>
  </si>
  <si>
    <t>EXT</t>
  </si>
  <si>
    <t>Gasto previsto</t>
  </si>
  <si>
    <t>aporte mensal</t>
  </si>
  <si>
    <t>inicio</t>
  </si>
  <si>
    <t>data final</t>
  </si>
  <si>
    <t>total vezes</t>
  </si>
  <si>
    <t>ano encerramento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</si>
</sst>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7" formatCode="_-* #,##0_-;\-* #,##0_-;_-* &quot;-&quot;??_-;_-@_-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/>
    </xf>
    <xf numFmtId="164" fontId="0" fillId="0" borderId="0" xfId="0" applyNumberFormat="1" applyAlignment="1">
      <alignment wrapText="1"/>
    </xf>
    <xf numFmtId="0" fontId="2" fillId="3" borderId="0" xfId="0" applyFont="1" applyFill="1" applyAlignment="1">
      <alignment horizontal="center" vertical="center"/>
    </xf>
    <xf numFmtId="44" fontId="0" fillId="0" borderId="0" xfId="2" applyFont="1"/>
    <xf numFmtId="0" fontId="0" fillId="5" borderId="0" xfId="0" applyFill="1"/>
    <xf numFmtId="4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164" fontId="0" fillId="0" borderId="5" xfId="0" applyNumberFormat="1" applyBorder="1" applyAlignment="1">
      <alignment horizontal="center"/>
    </xf>
    <xf numFmtId="167" fontId="0" fillId="0" borderId="6" xfId="1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44" fontId="0" fillId="0" borderId="11" xfId="0" applyNumberFormat="1" applyBorder="1"/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/>
    <xf numFmtId="0" fontId="0" fillId="6" borderId="1" xfId="0" applyFill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44" fontId="0" fillId="6" borderId="11" xfId="0" applyNumberFormat="1" applyFill="1" applyBorder="1"/>
    <xf numFmtId="44" fontId="0" fillId="6" borderId="0" xfId="0" applyNumberFormat="1" applyFill="1"/>
    <xf numFmtId="0" fontId="0" fillId="6" borderId="3" xfId="0" applyFill="1" applyBorder="1" applyAlignment="1">
      <alignment horizontal="center"/>
    </xf>
    <xf numFmtId="0" fontId="0" fillId="6" borderId="4" xfId="0" applyFill="1" applyBorder="1"/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4" xfId="0" applyFill="1" applyBorder="1"/>
    <xf numFmtId="0" fontId="0" fillId="6" borderId="0" xfId="0" applyFill="1"/>
    <xf numFmtId="14" fontId="0" fillId="0" borderId="0" xfId="0" applyNumberFormat="1" applyAlignment="1">
      <alignment horizontal="center"/>
    </xf>
    <xf numFmtId="0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10">
    <dxf>
      <font>
        <color rgb="FF0F5132"/>
      </font>
      <fill>
        <patternFill patternType="solid">
          <bgColor rgb="FFD1E7DD"/>
        </patternFill>
      </fill>
    </dxf>
    <dxf>
      <font>
        <color rgb="FF664D03"/>
      </font>
      <fill>
        <patternFill patternType="solid">
          <bgColor rgb="FFFFF3CD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color rgb="FF0F5132"/>
      </font>
      <fill>
        <patternFill patternType="solid">
          <bgColor rgb="FFD1E7DD"/>
        </patternFill>
      </fill>
    </dxf>
    <dxf>
      <font>
        <color rgb="FF664D03"/>
      </font>
      <fill>
        <patternFill patternType="solid">
          <bgColor rgb="FFFFF3CD"/>
        </patternFill>
      </fill>
    </dxf>
    <dxf>
      <font>
        <color rgb="FF842029"/>
      </font>
      <fill>
        <patternFill patternType="solid">
          <bgColor rgb="FFF8D7DA"/>
        </patternFill>
      </fill>
    </dxf>
    <dxf>
      <font>
        <b/>
        <color rgb="FF842029"/>
      </font>
      <fill>
        <patternFill patternType="solid">
          <bgColor rgb="FFF8D7DA"/>
        </patternFill>
      </fill>
    </dxf>
    <dxf>
      <fill>
        <patternFill patternType="solid">
          <bgColor rgb="FFFFE5D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Custo previsto por sistema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 previsto</c:v>
          </c:tx>
          <c:invertIfNegative val="1"/>
          <c:cat>
            <c:strRef>
              <c:f>Dashboard!$D$5:$D$21</c:f>
              <c:strCache>
                <c:ptCount val="12"/>
                <c:pt idx="0">
                  <c:v>Climatização</c:v>
                </c:pt>
                <c:pt idx="1">
                  <c:v>Drenagem</c:v>
                </c:pt>
                <c:pt idx="2">
                  <c:v>Elétrico</c:v>
                </c:pt>
                <c:pt idx="3">
                  <c:v>Esgoto</c:v>
                </c:pt>
                <c:pt idx="4">
                  <c:v>Esquadrias</c:v>
                </c:pt>
                <c:pt idx="5">
                  <c:v>Gás</c:v>
                </c:pt>
                <c:pt idx="6">
                  <c:v>Hidráulico</c:v>
                </c:pt>
                <c:pt idx="7">
                  <c:v>Iluminação</c:v>
                </c:pt>
                <c:pt idx="8">
                  <c:v>Marcenaria</c:v>
                </c:pt>
                <c:pt idx="9">
                  <c:v>Pintura</c:v>
                </c:pt>
                <c:pt idx="10">
                  <c:v>Revestimentos</c:v>
                </c:pt>
                <c:pt idx="11">
                  <c:v>Segurança/acesso</c:v>
                </c:pt>
              </c:strCache>
            </c:strRef>
          </c:cat>
          <c:val>
            <c:numRef>
              <c:f>Dashboard!$E$5:$E$21</c:f>
              <c:numCache>
                <c:formatCode>\R\$\ #,##0.00</c:formatCode>
                <c:ptCount val="17"/>
                <c:pt idx="0">
                  <c:v>720</c:v>
                </c:pt>
                <c:pt idx="1">
                  <c:v>0</c:v>
                </c:pt>
                <c:pt idx="2">
                  <c:v>20100</c:v>
                </c:pt>
                <c:pt idx="3">
                  <c:v>80</c:v>
                </c:pt>
                <c:pt idx="4">
                  <c:v>120</c:v>
                </c:pt>
                <c:pt idx="5">
                  <c:v>180</c:v>
                </c:pt>
                <c:pt idx="6">
                  <c:v>300</c:v>
                </c:pt>
                <c:pt idx="7">
                  <c:v>0</c:v>
                </c:pt>
                <c:pt idx="8">
                  <c:v>150</c:v>
                </c:pt>
                <c:pt idx="9">
                  <c:v>2500</c:v>
                </c:pt>
                <c:pt idx="10">
                  <c:v>50600</c:v>
                </c:pt>
                <c:pt idx="11">
                  <c:v>0</c:v>
                </c:pt>
                <c:pt idx="16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0-40C3-80D1-85C5F2A4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Custo previsto por ano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Custo previsto</c:v>
          </c:tx>
          <c:invertIfNegative val="1"/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Dashboard!$B$13:$B$18</c:f>
              <c:numCache>
                <c:formatCode>\R\$\ #,##0.00</c:formatCode>
                <c:ptCount val="6"/>
                <c:pt idx="0">
                  <c:v>22370</c:v>
                </c:pt>
                <c:pt idx="1">
                  <c:v>2270</c:v>
                </c:pt>
                <c:pt idx="2">
                  <c:v>22820</c:v>
                </c:pt>
                <c:pt idx="3">
                  <c:v>5260</c:v>
                </c:pt>
                <c:pt idx="4">
                  <c:v>21990</c:v>
                </c:pt>
                <c:pt idx="5">
                  <c:v>52130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5-4921-946B-4FB72A590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R\$\ 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manutencao predial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Dashboard!$C$25</c:f>
              <c:strCache>
                <c:ptCount val="1"/>
                <c:pt idx="0">
                  <c:v>aporte mensal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Dashboard!$D$27:$D$32</c:f>
              <c:numCache>
                <c:formatCode>\R\$\ #,##0.00</c:formatCode>
                <c:ptCount val="6"/>
                <c:pt idx="0">
                  <c:v>3792.75</c:v>
                </c:pt>
                <c:pt idx="1">
                  <c:v>1928.5833333333335</c:v>
                </c:pt>
                <c:pt idx="2">
                  <c:v>1834</c:v>
                </c:pt>
                <c:pt idx="3">
                  <c:v>1200.1111111111111</c:v>
                </c:pt>
                <c:pt idx="4">
                  <c:v>1090.5277777777778</c:v>
                </c:pt>
                <c:pt idx="5">
                  <c:v>724.02777777777783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7A-4940-8872-6D2F8B63D272}"/>
            </c:ext>
          </c:extLst>
        </c:ser>
        <c:ser>
          <c:idx val="1"/>
          <c:order val="1"/>
          <c:tx>
            <c:strRef>
              <c:f>Dashboard!$B$12</c:f>
              <c:strCache>
                <c:ptCount val="1"/>
                <c:pt idx="0">
                  <c:v>Gasto previsto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Dashboard!$B$13:$B$18</c:f>
              <c:numCache>
                <c:formatCode>\R\$\ #,##0.00</c:formatCode>
                <c:ptCount val="6"/>
                <c:pt idx="0">
                  <c:v>22370</c:v>
                </c:pt>
                <c:pt idx="1">
                  <c:v>2270</c:v>
                </c:pt>
                <c:pt idx="2">
                  <c:v>22820</c:v>
                </c:pt>
                <c:pt idx="3">
                  <c:v>5260</c:v>
                </c:pt>
                <c:pt idx="4">
                  <c:v>21990</c:v>
                </c:pt>
                <c:pt idx="5">
                  <c:v>52130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7A-4940-8872-6D2F8B63D272}"/>
            </c:ext>
          </c:extLst>
        </c:ser>
        <c:ser>
          <c:idx val="2"/>
          <c:order val="2"/>
          <c:tx>
            <c:strRef>
              <c:f>Dashboard!$E$26</c:f>
              <c:strCache>
                <c:ptCount val="1"/>
                <c:pt idx="0">
                  <c:v>arrecadacao anual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Dashboard!$A$13:$A$18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Dashboard!$E$27:$E$32</c:f>
              <c:numCache>
                <c:formatCode>\R\$\ #.##000</c:formatCode>
                <c:ptCount val="6"/>
                <c:pt idx="0">
                  <c:v>45513</c:v>
                </c:pt>
                <c:pt idx="1">
                  <c:v>23143</c:v>
                </c:pt>
                <c:pt idx="2">
                  <c:v>22008</c:v>
                </c:pt>
                <c:pt idx="3">
                  <c:v>14401.333333333332</c:v>
                </c:pt>
                <c:pt idx="4">
                  <c:v>13086.333333333334</c:v>
                </c:pt>
                <c:pt idx="5">
                  <c:v>8688.3333333333339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7A-4940-8872-6D2F8B63D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451647"/>
        <c:axId val="101451167"/>
      </c:barChart>
      <c:catAx>
        <c:axId val="10145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451167"/>
        <c:crosses val="autoZero"/>
        <c:auto val="1"/>
        <c:lblAlgn val="ctr"/>
        <c:lblOffset val="100"/>
        <c:noMultiLvlLbl val="0"/>
      </c:catAx>
      <c:valAx>
        <c:axId val="10145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R\$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45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638175</xdr:colOff>
      <xdr:row>35</xdr:row>
      <xdr:rowOff>0</xdr:rowOff>
    </xdr:from>
    <xdr:to>
      <xdr:col>3</xdr:col>
      <xdr:colOff>1181100</xdr:colOff>
      <xdr:row>36</xdr:row>
      <xdr:rowOff>504825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600075</xdr:colOff>
      <xdr:row>33</xdr:row>
      <xdr:rowOff>19050</xdr:rowOff>
    </xdr:from>
    <xdr:to>
      <xdr:col>3</xdr:col>
      <xdr:colOff>600075</xdr:colOff>
      <xdr:row>34</xdr:row>
      <xdr:rowOff>1771649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833437</xdr:colOff>
      <xdr:row>33</xdr:row>
      <xdr:rowOff>9524</xdr:rowOff>
    </xdr:from>
    <xdr:to>
      <xdr:col>6</xdr:col>
      <xdr:colOff>1290637</xdr:colOff>
      <xdr:row>35</xdr:row>
      <xdr:rowOff>409575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9B2B244-0F53-D79D-5416-2AB5FD7FD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aAtivos" displayName="TabelaAtivos" ref="A1:X200">
  <tableColumns count="24">
    <tableColumn id="1" xr3:uid="{00000000-0010-0000-0000-000001000000}" name="ID"/>
    <tableColumn id="2" xr3:uid="{00000000-0010-0000-0000-000002000000}" name="Cod_ambiente">
      <calculatedColumnFormula>_xlfn.XLOOKUP(TabelaAtivos[[#This Row],[Ambiente]],TabelaAmbientes[Ambiente],TabelaAmbientes[Cod_ambiente],"",0,1)</calculatedColumnFormula>
    </tableColumn>
    <tableColumn id="3" xr3:uid="{00000000-0010-0000-0000-000003000000}" name="Ambiente"/>
    <tableColumn id="4" xr3:uid="{00000000-0010-0000-0000-000004000000}" name="Zona" dataDxfId="9">
      <calculatedColumnFormula>_xlfn.XLOOKUP(TabelaAtivos[[#This Row],[Ambiente]],TabelaAmbientes[Ambiente],TabelaAmbientes[Zona],"",0,1)</calculatedColumnFormula>
    </tableColumn>
    <tableColumn id="5" xr3:uid="{00000000-0010-0000-0000-000005000000}" name="Sistema"/>
    <tableColumn id="6" xr3:uid="{00000000-0010-0000-0000-000006000000}" name="Subsistema"/>
    <tableColumn id="7" xr3:uid="{00000000-0010-0000-0000-000007000000}" name="Ativo"/>
    <tableColumn id="8" xr3:uid="{00000000-0010-0000-0000-000008000000}" name="Componente"/>
    <tableColumn id="9" xr3:uid="{00000000-0010-0000-0000-000009000000}" name="Ação_prevista"/>
    <tableColumn id="10" xr3:uid="{00000000-0010-0000-0000-00000A000000}" name="Quantidade"/>
    <tableColumn id="11" xr3:uid="{00000000-0010-0000-0000-00000B000000}" name="Unidade"/>
    <tableColumn id="12" xr3:uid="{00000000-0010-0000-0000-00000C000000}" name="Periodicidade_meses"/>
    <tableColumn id="13" xr3:uid="{00000000-0010-0000-0000-00000D000000}" name="Última_manut"/>
    <tableColumn id="14" xr3:uid="{00000000-0010-0000-0000-00000E000000}" name="Próxima_manut"/>
    <tableColumn id="15" xr3:uid="{00000000-0010-0000-0000-00000F000000}" name="Ano"/>
    <tableColumn id="16" xr3:uid="{00000000-0010-0000-0000-000010000000}" name="Mês"/>
    <tableColumn id="17" xr3:uid="{00000000-0010-0000-0000-000011000000}" name="Custo_unitário_estimado"/>
    <tableColumn id="18" xr3:uid="{00000000-0010-0000-0000-000012000000}" name="Custo_total_estimado"/>
    <tableColumn id="19" xr3:uid="{00000000-0010-0000-0000-000013000000}" name="Prioridade"/>
    <tableColumn id="20" xr3:uid="{00000000-0010-0000-0000-000014000000}" name="Estado"/>
    <tableColumn id="21" xr3:uid="{00000000-0010-0000-0000-000015000000}" name="Status"/>
    <tableColumn id="22" xr3:uid="{00000000-0010-0000-0000-000016000000}" name="Responsável"/>
    <tableColumn id="23" xr3:uid="{00000000-0010-0000-0000-000017000000}" name="Observações"/>
    <tableColumn id="25" xr3:uid="{578D19B7-C4DB-460B-BAD2-A10A07DCE39B}" name="ano encerramento" dataDxfId="8">
      <calculatedColumnFormula>_xleta.IF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aAmbientes" displayName="TabelaAmbientes" ref="A1:D18">
  <tableColumns count="4">
    <tableColumn id="1" xr3:uid="{00000000-0010-0000-0100-000001000000}" name="Cod_ambiente"/>
    <tableColumn id="2" xr3:uid="{00000000-0010-0000-0100-000002000000}" name="Ambiente"/>
    <tableColumn id="3" xr3:uid="{00000000-0010-0000-0100-000003000000}" name="Zona"/>
    <tableColumn id="4" xr3:uid="{00000000-0010-0000-0100-000004000000}" name="Observa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F88BD7-DF9C-4E17-B319-29437249C876}" name="TabelaAmbientes7" displayName="TabelaAmbientes7" ref="F1:F6">
  <tableColumns count="1">
    <tableColumn id="3" xr3:uid="{53FB094B-2476-4E19-A23B-297E9B97F631}" name="Zon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aSistemas" displayName="TabelaSistemas" ref="A1:C21">
  <tableColumns count="3">
    <tableColumn id="1" xr3:uid="{00000000-0010-0000-0200-000001000000}" name="Cod_sistema"/>
    <tableColumn id="2" xr3:uid="{00000000-0010-0000-0200-000002000000}" name="Sistema"/>
    <tableColumn id="3" xr3:uid="{00000000-0010-0000-0200-000003000000}" name="Subsiste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elaRotinas" displayName="TabelaRotinas" ref="A1:G16">
  <tableColumns count="7">
    <tableColumn id="1" xr3:uid="{00000000-0010-0000-0300-000001000000}" name="Sistema"/>
    <tableColumn id="2" xr3:uid="{00000000-0010-0000-0300-000002000000}" name="Ativo"/>
    <tableColumn id="3" xr3:uid="{00000000-0010-0000-0300-000003000000}" name="Componente"/>
    <tableColumn id="4" xr3:uid="{00000000-0010-0000-0300-000004000000}" name="Ação"/>
    <tableColumn id="5" xr3:uid="{00000000-0010-0000-0300-000005000000}" name="Periodicidade_meses"/>
    <tableColumn id="6" xr3:uid="{00000000-0010-0000-0300-000006000000}" name="Custo_referencia"/>
    <tableColumn id="7" xr3:uid="{00000000-0010-0000-0300-000007000000}" name="Responsável_sugeri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Cronograma" displayName="TabelaCronograma" ref="A1:K200">
  <tableColumns count="11">
    <tableColumn id="1" xr3:uid="{00000000-0010-0000-0400-000001000000}" name="ID"/>
    <tableColumn id="2" xr3:uid="{00000000-0010-0000-0400-000002000000}" name="Próxima_manut"/>
    <tableColumn id="3" xr3:uid="{00000000-0010-0000-0400-000003000000}" name="Ano"/>
    <tableColumn id="4" xr3:uid="{00000000-0010-0000-0400-000004000000}" name="Mês"/>
    <tableColumn id="5" xr3:uid="{00000000-0010-0000-0400-000005000000}" name="Ambiente"/>
    <tableColumn id="6" xr3:uid="{00000000-0010-0000-0400-000006000000}" name="Sistema"/>
    <tableColumn id="7" xr3:uid="{00000000-0010-0000-0400-000007000000}" name="Ativo"/>
    <tableColumn id="8" xr3:uid="{00000000-0010-0000-0400-000008000000}" name="Ação_prevista"/>
    <tableColumn id="9" xr3:uid="{00000000-0010-0000-0400-000009000000}" name="Prioridade"/>
    <tableColumn id="10" xr3:uid="{00000000-0010-0000-0400-00000A000000}" name="Status"/>
    <tableColumn id="11" xr3:uid="{00000000-0010-0000-0400-00000B000000}" name="Custo_total_estim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26" workbookViewId="0">
      <selection activeCell="D26" sqref="D26"/>
    </sheetView>
  </sheetViews>
  <sheetFormatPr defaultRowHeight="14.25"/>
  <cols>
    <col min="1" max="1" width="18" customWidth="1"/>
    <col min="2" max="2" width="22.5" customWidth="1"/>
    <col min="3" max="8" width="18" customWidth="1"/>
  </cols>
  <sheetData>
    <row r="1" spans="1:8" ht="27.95" customHeight="1">
      <c r="A1" s="7" t="s">
        <v>0</v>
      </c>
      <c r="B1" s="7"/>
      <c r="C1" s="7"/>
      <c r="D1" s="7"/>
      <c r="E1" s="7"/>
      <c r="F1" s="7"/>
      <c r="G1" s="7"/>
      <c r="H1" s="7"/>
    </row>
    <row r="3" spans="1:8" ht="15">
      <c r="A3" s="1" t="s">
        <v>1</v>
      </c>
      <c r="B3" s="1" t="s">
        <v>2</v>
      </c>
      <c r="D3" s="5" t="s">
        <v>3</v>
      </c>
      <c r="E3" s="5"/>
      <c r="G3" s="5" t="s">
        <v>4</v>
      </c>
      <c r="H3" s="5"/>
    </row>
    <row r="4" spans="1:8" ht="15">
      <c r="A4" t="s">
        <v>5</v>
      </c>
      <c r="B4">
        <f>COUNTA(Ativos!A2:A200)</f>
        <v>14</v>
      </c>
      <c r="D4" s="5" t="s">
        <v>6</v>
      </c>
      <c r="E4" s="5" t="s">
        <v>7</v>
      </c>
      <c r="G4" s="5" t="s">
        <v>8</v>
      </c>
      <c r="H4" s="5" t="s">
        <v>7</v>
      </c>
    </row>
    <row r="5" spans="1:8">
      <c r="A5" t="s">
        <v>9</v>
      </c>
      <c r="B5" s="3">
        <f>SUM(Ativos!R2:R200)</f>
        <v>74750</v>
      </c>
      <c r="D5" t="s">
        <v>10</v>
      </c>
      <c r="E5" s="3">
        <f>SUMIF(Ativos!E:E,D5,Ativos!R:R)</f>
        <v>720</v>
      </c>
      <c r="G5" t="s">
        <v>11</v>
      </c>
      <c r="H5" s="3">
        <f>SUMIF(Ativos!C:C,G5,Ativos!R:R)</f>
        <v>180</v>
      </c>
    </row>
    <row r="6" spans="1:8">
      <c r="A6" t="s">
        <v>12</v>
      </c>
      <c r="B6">
        <f ca="1">COUNTIF(Ativos!U2:U200,"Vencido")</f>
        <v>10</v>
      </c>
      <c r="D6" t="s">
        <v>13</v>
      </c>
      <c r="E6" s="3">
        <f>SUMIF(Ativos!E:E,D6,Ativos!R:R)</f>
        <v>0</v>
      </c>
      <c r="G6" t="s">
        <v>14</v>
      </c>
      <c r="H6" s="3">
        <f>SUMIF(Ativos!C:C,G6,Ativos!R:R)</f>
        <v>0</v>
      </c>
    </row>
    <row r="7" spans="1:8">
      <c r="A7" t="s">
        <v>15</v>
      </c>
      <c r="B7">
        <f ca="1">COUNTIF(Ativos!U2:U200,"Próx. 30 dias")</f>
        <v>0</v>
      </c>
      <c r="D7" t="s">
        <v>16</v>
      </c>
      <c r="E7" s="3">
        <f>SUMIF(Ativos!E:E,D7,Ativos!R:R)</f>
        <v>20100</v>
      </c>
      <c r="G7" t="s">
        <v>17</v>
      </c>
      <c r="H7" s="3">
        <f>SUMIF(Ativos!C:C,G7,Ativos!R:R)</f>
        <v>180</v>
      </c>
    </row>
    <row r="8" spans="1:8">
      <c r="A8" t="s">
        <v>18</v>
      </c>
      <c r="B8">
        <f ca="1">COUNTIF(Ativos!U2:U200,"Próx. 90 dias")</f>
        <v>0</v>
      </c>
      <c r="D8" t="s">
        <v>19</v>
      </c>
      <c r="E8" s="3">
        <f>SUMIF(Ativos!E:E,D8,Ativos!R:R)</f>
        <v>80</v>
      </c>
      <c r="G8" t="s">
        <v>20</v>
      </c>
      <c r="H8" s="3">
        <f>SUMIF(Ativos!C:C,G8,Ativos!R:R)</f>
        <v>380</v>
      </c>
    </row>
    <row r="9" spans="1:8">
      <c r="D9" t="s">
        <v>21</v>
      </c>
      <c r="E9" s="3">
        <f>SUMIF(Ativos!E:E,D9,Ativos!R:R)</f>
        <v>120</v>
      </c>
      <c r="G9" t="s">
        <v>22</v>
      </c>
      <c r="H9" s="3">
        <f>SUMIF(Ativos!C:C,G9,Ativos!R:R)</f>
        <v>180</v>
      </c>
    </row>
    <row r="10" spans="1:8">
      <c r="B10" s="3">
        <f>SUM(B13:B18)</f>
        <v>126840</v>
      </c>
      <c r="D10" t="s">
        <v>23</v>
      </c>
      <c r="E10" s="3">
        <f>SUMIF(Ativos!E:E,D10,Ativos!R:R)</f>
        <v>180</v>
      </c>
      <c r="G10" t="s">
        <v>24</v>
      </c>
      <c r="H10" s="3">
        <f>SUMIF(Ativos!C:C,G10,Ativos!R:R)</f>
        <v>0</v>
      </c>
    </row>
    <row r="11" spans="1:8" ht="15">
      <c r="A11" s="5" t="s">
        <v>25</v>
      </c>
      <c r="B11" s="5"/>
      <c r="D11" t="s">
        <v>26</v>
      </c>
      <c r="E11" s="3">
        <f>SUMIF(Ativos!E:E,D11,Ativos!R:R)</f>
        <v>300</v>
      </c>
      <c r="G11" t="s">
        <v>27</v>
      </c>
      <c r="H11" s="3">
        <f>SUMIF(Ativos!C:C,G11,Ativos!R:R)</f>
        <v>100</v>
      </c>
    </row>
    <row r="12" spans="1:8" ht="15">
      <c r="A12" s="5" t="s">
        <v>28</v>
      </c>
      <c r="B12" s="5" t="s">
        <v>226</v>
      </c>
      <c r="D12" t="s">
        <v>29</v>
      </c>
      <c r="E12" s="3">
        <f>SUMIF(Ativos!E:E,D12,Ativos!R:R)</f>
        <v>0</v>
      </c>
      <c r="G12" t="s">
        <v>30</v>
      </c>
      <c r="H12" s="3">
        <f>SUMIF(Ativos!C:C,G12,Ativos!R:R)</f>
        <v>0</v>
      </c>
    </row>
    <row r="13" spans="1:8">
      <c r="A13">
        <v>2025</v>
      </c>
      <c r="B13" s="3" cm="1">
        <f t="array" ref="B13">SUMPRODUCT(Ativos!R1:R15,MMULT(--(IFERROR(YEAR(Ativos!Y1:BD15),0)=A13),TRANSPOSE(COLUMN(Ativos!Y1:BD15)^0)))</f>
        <v>22370</v>
      </c>
      <c r="C13" s="8"/>
      <c r="D13" t="s">
        <v>31</v>
      </c>
      <c r="E13" s="3">
        <f>SUMIF(Ativos!E:E,D13,Ativos!R:R)</f>
        <v>150</v>
      </c>
      <c r="G13" t="s">
        <v>32</v>
      </c>
      <c r="H13" s="3">
        <f>SUMIF(Ativos!C:C,G13,Ativos!R:R)</f>
        <v>22680</v>
      </c>
    </row>
    <row r="14" spans="1:8">
      <c r="A14">
        <v>2026</v>
      </c>
      <c r="B14" s="3" cm="1">
        <f t="array" ref="B14">SUMPRODUCT(Ativos!R2:R16,MMULT(--(IFERROR(YEAR(Ativos!Y2:BD16),0)=A14),TRANSPOSE(COLUMN(Ativos!Y2:BD16)^0)))</f>
        <v>2270</v>
      </c>
      <c r="C14" s="8"/>
      <c r="D14" t="s">
        <v>33</v>
      </c>
      <c r="E14" s="3">
        <f>SUMIF(Ativos!E:E,D14,Ativos!R:R)</f>
        <v>2500</v>
      </c>
      <c r="G14" t="s">
        <v>34</v>
      </c>
      <c r="H14" s="3">
        <f>SUMIF(Ativos!C:C,G14,Ativos!R:R)</f>
        <v>720</v>
      </c>
    </row>
    <row r="15" spans="1:8">
      <c r="A15">
        <v>2027</v>
      </c>
      <c r="B15" s="3" cm="1">
        <f t="array" ref="B15">SUMPRODUCT(Ativos!R3:R17,MMULT(--(IFERROR(YEAR(Ativos!Y3:BD17),0)=A15),TRANSPOSE(COLUMN(Ativos!Y3:BD17)^0)))</f>
        <v>22820</v>
      </c>
      <c r="C15" s="8"/>
      <c r="D15" t="s">
        <v>35</v>
      </c>
      <c r="E15" s="3">
        <f>SUMIF(Ativos!E:E,D15,Ativos!R:R)</f>
        <v>50600</v>
      </c>
      <c r="G15" t="s">
        <v>36</v>
      </c>
      <c r="H15" s="3">
        <f>SUMIF(Ativos!C:C,G15,Ativos!R:R)</f>
        <v>0</v>
      </c>
    </row>
    <row r="16" spans="1:8">
      <c r="A16">
        <v>2028</v>
      </c>
      <c r="B16" s="3" cm="1">
        <f t="array" ref="B16">SUMPRODUCT(Ativos!R4:R18,MMULT(--(IFERROR(YEAR(Ativos!Y4:BD18),0)=A16),TRANSPOSE(COLUMN(Ativos!Y4:BD18)^0)))</f>
        <v>5260</v>
      </c>
      <c r="C16" s="8"/>
      <c r="D16" t="s">
        <v>37</v>
      </c>
      <c r="E16" s="3">
        <f>SUMIF(Ativos!E:E,D16,Ativos!R:R)</f>
        <v>0</v>
      </c>
      <c r="G16" t="s">
        <v>38</v>
      </c>
      <c r="H16" s="3">
        <f>SUMIF(Ativos!C:C,G16,Ativos!R:R)</f>
        <v>330</v>
      </c>
    </row>
    <row r="17" spans="1:8">
      <c r="A17">
        <v>2029</v>
      </c>
      <c r="B17" s="3" cm="1">
        <f t="array" ref="B17">SUMPRODUCT(Ativos!R5:R19,MMULT(--(IFERROR(YEAR(Ativos!Y5:BD19),0)=A17),TRANSPOSE(COLUMN(Ativos!Y5:BD19)^0)))</f>
        <v>21990</v>
      </c>
      <c r="C17" s="8"/>
      <c r="E17" s="3"/>
      <c r="G17" t="s">
        <v>39</v>
      </c>
      <c r="H17" s="3">
        <f>SUMIF(Ativos!C:C,G17,Ativos!R:R)</f>
        <v>0</v>
      </c>
    </row>
    <row r="18" spans="1:8">
      <c r="A18">
        <v>2030</v>
      </c>
      <c r="B18" s="3" cm="1">
        <f t="array" ref="B18">SUMPRODUCT(Ativos!R6:R20,MMULT(--(IFERROR(YEAR(Ativos!Y6:BD20),0)=A18),TRANSPOSE(COLUMN(Ativos!Y6:BD20)^0)))</f>
        <v>52130</v>
      </c>
      <c r="C18" s="8"/>
      <c r="E18" s="3"/>
      <c r="G18" t="s">
        <v>40</v>
      </c>
      <c r="H18" s="3">
        <f>SUMIF(Ativos!C:C,G18,Ativos!R:R)</f>
        <v>0</v>
      </c>
    </row>
    <row r="19" spans="1:8">
      <c r="B19" s="9" t="s">
        <v>211</v>
      </c>
      <c r="E19" s="3"/>
      <c r="G19" t="s">
        <v>41</v>
      </c>
      <c r="H19" s="3">
        <f>SUMIF(Ativos!C:C,G19,Ativos!R:R)</f>
        <v>0</v>
      </c>
    </row>
    <row r="20" spans="1:8">
      <c r="E20" s="3"/>
      <c r="H20" s="3"/>
    </row>
    <row r="21" spans="1:8">
      <c r="B21" s="11"/>
      <c r="D21" s="11"/>
      <c r="E21" t="s">
        <v>215</v>
      </c>
      <c r="H21" s="3"/>
    </row>
    <row r="22" spans="1:8">
      <c r="G22" s="4"/>
      <c r="H22" s="6"/>
    </row>
    <row r="23" spans="1:8">
      <c r="G23" s="4"/>
      <c r="H23" s="6"/>
    </row>
    <row r="24" spans="1:8" ht="15" thickBot="1">
      <c r="G24" s="4"/>
      <c r="H24" s="6"/>
    </row>
    <row r="25" spans="1:8">
      <c r="A25" s="32" t="s">
        <v>217</v>
      </c>
      <c r="B25" s="33"/>
      <c r="C25" s="32" t="s">
        <v>227</v>
      </c>
      <c r="D25" s="34">
        <v>1</v>
      </c>
      <c r="E25" s="35">
        <f>SUM(E27:E32)</f>
        <v>126839.99999999999</v>
      </c>
      <c r="F25" s="36">
        <f>SUM(F27:F32)</f>
        <v>0</v>
      </c>
      <c r="G25" s="4"/>
      <c r="H25" s="6"/>
    </row>
    <row r="26" spans="1:8">
      <c r="A26" s="37" t="s">
        <v>218</v>
      </c>
      <c r="B26" s="38" t="s">
        <v>219</v>
      </c>
      <c r="C26" s="39" t="s">
        <v>220</v>
      </c>
      <c r="D26" s="40" t="s">
        <v>221</v>
      </c>
      <c r="E26" s="41" t="s">
        <v>213</v>
      </c>
      <c r="F26" s="42" t="s">
        <v>214</v>
      </c>
      <c r="G26" s="4"/>
      <c r="H26" s="6"/>
    </row>
    <row r="27" spans="1:8">
      <c r="A27" s="17">
        <f>B13/12/B27</f>
        <v>1864.1666666666667</v>
      </c>
      <c r="B27" s="18">
        <f>1+A13-$A$13</f>
        <v>1</v>
      </c>
      <c r="C27" s="22">
        <f>SUM(A27:A32)</f>
        <v>3792.75</v>
      </c>
      <c r="D27" s="23">
        <f>C27/$D$25</f>
        <v>3792.75</v>
      </c>
      <c r="E27" s="27">
        <f>C27*12</f>
        <v>45513</v>
      </c>
      <c r="F27" s="12">
        <f>E27-B13</f>
        <v>23143</v>
      </c>
      <c r="G27" s="4"/>
      <c r="H27" s="6"/>
    </row>
    <row r="28" spans="1:8">
      <c r="A28" s="17">
        <f t="shared" ref="A28:A32" si="0">B14/12/B28</f>
        <v>94.583333333333329</v>
      </c>
      <c r="B28" s="18">
        <f t="shared" ref="B28:B32" si="1">1+A14-$A$13</f>
        <v>2</v>
      </c>
      <c r="C28" s="22">
        <f>SUM(A28:A32)</f>
        <v>1928.5833333333335</v>
      </c>
      <c r="D28" s="23">
        <f t="shared" ref="D28:D32" si="2">C28/$D$25</f>
        <v>1928.5833333333335</v>
      </c>
      <c r="E28" s="27">
        <f>C28*12</f>
        <v>23143</v>
      </c>
      <c r="F28" s="12">
        <f t="shared" ref="F28:F32" si="3">E28-B14</f>
        <v>20873</v>
      </c>
      <c r="H28" s="3"/>
    </row>
    <row r="29" spans="1:8">
      <c r="A29" s="17">
        <f t="shared" si="0"/>
        <v>633.88888888888891</v>
      </c>
      <c r="B29" s="18">
        <f t="shared" si="1"/>
        <v>3</v>
      </c>
      <c r="C29" s="22">
        <f>SUM(A29:A32)</f>
        <v>1834</v>
      </c>
      <c r="D29" s="23">
        <f t="shared" si="2"/>
        <v>1834</v>
      </c>
      <c r="E29" s="27">
        <f>C29*12</f>
        <v>22008</v>
      </c>
      <c r="F29" s="12">
        <f t="shared" si="3"/>
        <v>-812</v>
      </c>
      <c r="H29" s="3"/>
    </row>
    <row r="30" spans="1:8">
      <c r="A30" s="17">
        <f t="shared" si="0"/>
        <v>109.58333333333333</v>
      </c>
      <c r="B30" s="18">
        <f t="shared" si="1"/>
        <v>4</v>
      </c>
      <c r="C30" s="22">
        <f>SUM(A30:A32)</f>
        <v>1200.1111111111111</v>
      </c>
      <c r="D30" s="23">
        <f t="shared" si="2"/>
        <v>1200.1111111111111</v>
      </c>
      <c r="E30" s="27">
        <f>C30*12</f>
        <v>14401.333333333332</v>
      </c>
      <c r="F30" s="12">
        <f t="shared" si="3"/>
        <v>9141.3333333333321</v>
      </c>
      <c r="H30" s="3"/>
    </row>
    <row r="31" spans="1:8">
      <c r="A31" s="17">
        <f t="shared" si="0"/>
        <v>366.5</v>
      </c>
      <c r="B31" s="18">
        <f t="shared" si="1"/>
        <v>5</v>
      </c>
      <c r="C31" s="22">
        <f>SUM(A31:A33)</f>
        <v>1090.5277777777778</v>
      </c>
      <c r="D31" s="23">
        <f t="shared" si="2"/>
        <v>1090.5277777777778</v>
      </c>
      <c r="E31" s="27">
        <f>C31*12</f>
        <v>13086.333333333334</v>
      </c>
      <c r="F31" s="12">
        <f t="shared" si="3"/>
        <v>-8903.6666666666661</v>
      </c>
    </row>
    <row r="32" spans="1:8" ht="15" thickBot="1">
      <c r="A32" s="19">
        <f t="shared" si="0"/>
        <v>724.02777777777783</v>
      </c>
      <c r="B32" s="20">
        <f t="shared" si="1"/>
        <v>6</v>
      </c>
      <c r="C32" s="24">
        <f>SUM(A32:A34)</f>
        <v>724.02777777777783</v>
      </c>
      <c r="D32" s="25">
        <f t="shared" si="2"/>
        <v>724.02777777777783</v>
      </c>
      <c r="E32" s="28">
        <f>C32*12</f>
        <v>8688.3333333333339</v>
      </c>
      <c r="F32" s="12">
        <f t="shared" si="3"/>
        <v>-43441.666666666664</v>
      </c>
    </row>
    <row r="34" spans="10:10" ht="42.75">
      <c r="J34" s="4" t="s">
        <v>42</v>
      </c>
    </row>
    <row r="35" spans="10:10" ht="142.5">
      <c r="J35" s="4" t="s">
        <v>43</v>
      </c>
    </row>
    <row r="36" spans="10:10" ht="142.5">
      <c r="J36" s="4" t="s">
        <v>44</v>
      </c>
    </row>
    <row r="37" spans="10:10" ht="171">
      <c r="J37" s="4" t="s">
        <v>45</v>
      </c>
    </row>
    <row r="38" spans="10:10" ht="128.25">
      <c r="J38" s="4" t="s">
        <v>46</v>
      </c>
    </row>
    <row r="39" spans="10:10" ht="142.5">
      <c r="J39" s="4" t="s">
        <v>47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D5DC-9F41-4A69-A7C7-F86D858D908B}">
  <dimension ref="D7:Y38"/>
  <sheetViews>
    <sheetView topLeftCell="B22" workbookViewId="0">
      <selection activeCell="H35" sqref="H35"/>
    </sheetView>
  </sheetViews>
  <sheetFormatPr defaultRowHeight="14.25"/>
  <cols>
    <col min="4" max="4" width="13.5" bestFit="1" customWidth="1"/>
    <col min="5" max="5" width="19.375" bestFit="1" customWidth="1"/>
    <col min="6" max="6" width="21.5" bestFit="1" customWidth="1"/>
    <col min="7" max="7" width="6.875" style="11" bestFit="1" customWidth="1"/>
    <col min="8" max="8" width="30" bestFit="1" customWidth="1"/>
    <col min="9" max="9" width="16.375" style="11" customWidth="1"/>
    <col min="10" max="10" width="16.25" bestFit="1" customWidth="1"/>
    <col min="11" max="11" width="14.875" customWidth="1"/>
    <col min="12" max="25" width="9.875" bestFit="1" customWidth="1"/>
  </cols>
  <sheetData>
    <row r="7" spans="4:11">
      <c r="E7" s="9" t="s">
        <v>211</v>
      </c>
    </row>
    <row r="9" spans="4:11" ht="15" thickBot="1">
      <c r="D9" t="s">
        <v>212</v>
      </c>
      <c r="E9" s="3">
        <f>SUM(E12:E17)</f>
        <v>200000</v>
      </c>
      <c r="J9" t="s">
        <v>215</v>
      </c>
    </row>
    <row r="10" spans="4:11" ht="15">
      <c r="D10" s="5" t="s">
        <v>25</v>
      </c>
      <c r="E10" s="5"/>
      <c r="F10" s="13" t="s">
        <v>217</v>
      </c>
      <c r="G10" s="14"/>
      <c r="H10" s="13" t="s">
        <v>216</v>
      </c>
      <c r="I10" s="21">
        <v>20</v>
      </c>
      <c r="J10" s="26">
        <f>SUM(J12:J17)</f>
        <v>200000</v>
      </c>
      <c r="K10" s="10">
        <f>SUM(K12:K17)</f>
        <v>2.9103830456733704E-11</v>
      </c>
    </row>
    <row r="11" spans="4:11" ht="15">
      <c r="D11" s="5" t="s">
        <v>28</v>
      </c>
      <c r="E11" s="5" t="s">
        <v>7</v>
      </c>
      <c r="F11" s="15" t="s">
        <v>218</v>
      </c>
      <c r="G11" s="16" t="s">
        <v>219</v>
      </c>
      <c r="H11" s="29" t="s">
        <v>220</v>
      </c>
      <c r="I11" s="30" t="s">
        <v>221</v>
      </c>
      <c r="J11" s="31" t="s">
        <v>213</v>
      </c>
      <c r="K11" t="s">
        <v>214</v>
      </c>
    </row>
    <row r="12" spans="4:11">
      <c r="D12">
        <v>2025</v>
      </c>
      <c r="E12" s="12">
        <v>0</v>
      </c>
      <c r="F12" s="17">
        <f>E12/12/(1+D12-D$12)</f>
        <v>0</v>
      </c>
      <c r="G12" s="18">
        <f>1+D12-D$12</f>
        <v>1</v>
      </c>
      <c r="H12" s="22">
        <f>SUM(F12:F17)</f>
        <v>5555.5555555555557</v>
      </c>
      <c r="I12" s="23">
        <f>H12/$I$10</f>
        <v>277.77777777777777</v>
      </c>
      <c r="J12" s="27">
        <f>H12*12</f>
        <v>66666.666666666672</v>
      </c>
      <c r="K12" s="12">
        <f>J12-E12</f>
        <v>66666.666666666672</v>
      </c>
    </row>
    <row r="13" spans="4:11">
      <c r="D13">
        <v>2026</v>
      </c>
      <c r="E13" s="12">
        <v>0</v>
      </c>
      <c r="F13" s="17">
        <f>E13/12/(1+D13-D$12)</f>
        <v>0</v>
      </c>
      <c r="G13" s="18">
        <f>1+D13-D$12</f>
        <v>2</v>
      </c>
      <c r="H13" s="22">
        <f>SUM(F13:F18)</f>
        <v>5555.5555555555557</v>
      </c>
      <c r="I13" s="23">
        <f>H13/$I$10</f>
        <v>277.77777777777777</v>
      </c>
      <c r="J13" s="27">
        <f>H13*12</f>
        <v>66666.666666666672</v>
      </c>
      <c r="K13" s="12">
        <f>J13-E13</f>
        <v>66666.666666666672</v>
      </c>
    </row>
    <row r="14" spans="4:11">
      <c r="D14">
        <v>2027</v>
      </c>
      <c r="E14" s="12">
        <v>200000</v>
      </c>
      <c r="F14" s="17">
        <f>E14/12/(1+D14-D$12)</f>
        <v>5555.5555555555557</v>
      </c>
      <c r="G14" s="18">
        <f>1+D14-D$12</f>
        <v>3</v>
      </c>
      <c r="H14" s="22">
        <f>SUM(F14:F19)</f>
        <v>5555.5555555555557</v>
      </c>
      <c r="I14" s="23">
        <f>H14/$I$10</f>
        <v>277.77777777777777</v>
      </c>
      <c r="J14" s="27">
        <f>H14*12</f>
        <v>66666.666666666672</v>
      </c>
      <c r="K14" s="12">
        <f>J14-E14</f>
        <v>-133333.33333333331</v>
      </c>
    </row>
    <row r="15" spans="4:11">
      <c r="D15">
        <v>2028</v>
      </c>
      <c r="E15" s="12">
        <v>0</v>
      </c>
      <c r="F15" s="17">
        <f>E15/12/(1+D15-D$12)</f>
        <v>0</v>
      </c>
      <c r="G15" s="18">
        <f>1+D15-D$12</f>
        <v>4</v>
      </c>
      <c r="H15" s="22">
        <f>SUM(F15:F20)</f>
        <v>0</v>
      </c>
      <c r="I15" s="23">
        <f>H15/$I$10</f>
        <v>0</v>
      </c>
      <c r="J15" s="27">
        <f>H15*12</f>
        <v>0</v>
      </c>
      <c r="K15" s="12">
        <f>J15-E15</f>
        <v>0</v>
      </c>
    </row>
    <row r="16" spans="4:11">
      <c r="D16">
        <v>2029</v>
      </c>
      <c r="E16" s="12">
        <v>0</v>
      </c>
      <c r="F16" s="17">
        <f>E16/12/(1+D16-D$12)</f>
        <v>0</v>
      </c>
      <c r="G16" s="18">
        <f>1+D16-D$12</f>
        <v>5</v>
      </c>
      <c r="H16" s="22">
        <f>SUM(F16:F21)</f>
        <v>0</v>
      </c>
      <c r="I16" s="23">
        <f>H16/$I$10</f>
        <v>0</v>
      </c>
      <c r="J16" s="27">
        <f>H16*12</f>
        <v>0</v>
      </c>
      <c r="K16" s="12">
        <f>J16-E16</f>
        <v>0</v>
      </c>
    </row>
    <row r="17" spans="4:25" ht="15" thickBot="1">
      <c r="D17">
        <v>2030</v>
      </c>
      <c r="E17" s="12">
        <f>TabelaAtivos[[#This Row],[Custo_unitário_estimado]]</f>
        <v>0</v>
      </c>
      <c r="F17" s="19">
        <f>E17/12/(1+D17-D$12)</f>
        <v>0</v>
      </c>
      <c r="G17" s="20">
        <f>1+D17-D$12</f>
        <v>6</v>
      </c>
      <c r="H17" s="22">
        <f>SUM(F17:F22)</f>
        <v>0</v>
      </c>
      <c r="I17" s="23">
        <f>H17/$I$10</f>
        <v>0</v>
      </c>
      <c r="J17" s="27">
        <f>H17*12</f>
        <v>0</v>
      </c>
      <c r="K17" s="12">
        <f>J17-E17</f>
        <v>0</v>
      </c>
    </row>
    <row r="20" spans="4:25">
      <c r="E20" s="2"/>
    </row>
    <row r="28" spans="4:25">
      <c r="D28" s="2">
        <v>46164</v>
      </c>
      <c r="E28" s="2">
        <f>EDATE(D28,E32)</f>
        <v>46256</v>
      </c>
      <c r="F28" s="43">
        <v>46560</v>
      </c>
      <c r="H28" t="e" vm="1">
        <f>_xleta.DATE</f>
        <v>#VALUE!</v>
      </c>
    </row>
    <row r="29" spans="4:25">
      <c r="H29" s="2">
        <f>EDATE(D28,E33)</f>
        <v>46287</v>
      </c>
    </row>
    <row r="30" spans="4:25">
      <c r="E30">
        <v>31</v>
      </c>
      <c r="H30" s="2" cm="1">
        <f t="array" ref="H30:J30">_xlfn.SEQUENCE(1,E32,D28,F28)</f>
        <v>46164</v>
      </c>
      <c r="I30" s="43">
        <v>92724</v>
      </c>
      <c r="J30" s="2">
        <v>139284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4:25">
      <c r="D31" t="s">
        <v>228</v>
      </c>
      <c r="E31" t="s">
        <v>219</v>
      </c>
      <c r="F31" s="11" t="s">
        <v>229</v>
      </c>
      <c r="G31"/>
    </row>
    <row r="32" spans="4:25">
      <c r="E32">
        <v>3</v>
      </c>
      <c r="G32"/>
      <c r="H32" t="e" cm="1">
        <f t="array" aca="1" ref="H32" ca="1">DATA.MÊS(D28,_xlfn.SEQUENCE(10,1,0,F28))</f>
        <v>#NAME?</v>
      </c>
    </row>
    <row r="33" spans="4:11">
      <c r="E33">
        <v>4</v>
      </c>
    </row>
    <row r="34" spans="4:11">
      <c r="E34">
        <v>365</v>
      </c>
      <c r="H34" s="44" cm="1">
        <f t="array" ref="H34:J34">_xlfn.SEQUENCE(1,E32,D28,F28)</f>
        <v>46164</v>
      </c>
      <c r="I34" s="11">
        <v>92724</v>
      </c>
      <c r="J34">
        <v>139284</v>
      </c>
    </row>
    <row r="35" spans="4:11">
      <c r="E35">
        <f>(F28-D28)/E34</f>
        <v>1.0849315068493151</v>
      </c>
      <c r="H35" s="2" cm="1">
        <f t="array" ref="H35:H38">_xlfn.SEQUENCE(ROUNDDOWN((F28-D28)/(E28-D28),0),1,D28,E28-D28)</f>
        <v>46164</v>
      </c>
      <c r="I35" s="43"/>
      <c r="J35" s="2"/>
      <c r="K35" s="2"/>
    </row>
    <row r="36" spans="4:11">
      <c r="D36" t="s">
        <v>230</v>
      </c>
      <c r="E36" s="44">
        <f>ROUNDDOWN((F28-D28)/(E28-D28),0)</f>
        <v>4</v>
      </c>
      <c r="G36" s="11">
        <f>H36-H35</f>
        <v>92</v>
      </c>
      <c r="H36" s="2">
        <v>46256</v>
      </c>
    </row>
    <row r="37" spans="4:11">
      <c r="H37" s="2">
        <v>46348</v>
      </c>
    </row>
    <row r="38" spans="4:11">
      <c r="H38" s="2">
        <v>46440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200"/>
  <sheetViews>
    <sheetView topLeftCell="K1" workbookViewId="0">
      <selection activeCell="Q10" sqref="Q10"/>
    </sheetView>
  </sheetViews>
  <sheetFormatPr defaultRowHeight="14.25"/>
  <cols>
    <col min="1" max="1" width="14.375" bestFit="1" customWidth="1"/>
    <col min="2" max="2" width="13.75" bestFit="1" customWidth="1"/>
    <col min="3" max="3" width="16" customWidth="1"/>
    <col min="4" max="4" width="10" bestFit="1" customWidth="1"/>
    <col min="5" max="5" width="13.25" bestFit="1" customWidth="1"/>
    <col min="6" max="6" width="14.5" bestFit="1" customWidth="1"/>
    <col min="7" max="7" width="18.875" bestFit="1" customWidth="1"/>
    <col min="8" max="8" width="18" customWidth="1"/>
    <col min="9" max="9" width="26.875" customWidth="1"/>
    <col min="10" max="11" width="18" customWidth="1"/>
    <col min="12" max="14" width="12" customWidth="1"/>
    <col min="15" max="15" width="13" customWidth="1"/>
    <col min="16" max="16" width="4.625" bestFit="1" customWidth="1"/>
    <col min="17" max="18" width="12.75" bestFit="1" customWidth="1"/>
    <col min="19" max="19" width="10.125" bestFit="1" customWidth="1"/>
    <col min="20" max="20" width="7.25" bestFit="1" customWidth="1"/>
    <col min="21" max="24" width="16" customWidth="1"/>
    <col min="25" max="39" width="10" style="2" bestFit="1" customWidth="1"/>
    <col min="40" max="56" width="9.875" style="2" bestFit="1" customWidth="1"/>
    <col min="57" max="58" width="9" style="2"/>
  </cols>
  <sheetData>
    <row r="1" spans="1:56" ht="30">
      <c r="A1" s="1" t="s">
        <v>48</v>
      </c>
      <c r="B1" s="1" t="s">
        <v>49</v>
      </c>
      <c r="C1" s="1" t="s">
        <v>8</v>
      </c>
      <c r="D1" s="1" t="s">
        <v>50</v>
      </c>
      <c r="E1" s="1" t="s">
        <v>6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28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t="s">
        <v>231</v>
      </c>
      <c r="Z1" s="44">
        <f>COUNTIFS(Y2:AE16,"&gt;="&amp;AA1,Y2:AE16,"&lt;"&amp;AB1)</f>
        <v>17</v>
      </c>
      <c r="AA1" s="2">
        <v>45658</v>
      </c>
      <c r="AB1" s="2">
        <v>46023</v>
      </c>
    </row>
    <row r="2" spans="1:56">
      <c r="A2" t="s">
        <v>68</v>
      </c>
      <c r="B2" t="str">
        <f>_xlfn.XLOOKUP(TabelaAtivos[[#This Row],[Ambiente]],TabelaAmbientes[Ambiente],TabelaAmbientes[Cod_ambiente],"",0,1)</f>
        <v>S2B</v>
      </c>
      <c r="C2" t="s">
        <v>20</v>
      </c>
      <c r="D2" t="str">
        <f>_xlfn.XLOOKUP(TabelaAtivos[[#This Row],[Ambiente]],TabelaAmbientes[Ambiente],TabelaAmbientes[Zona],"",0,1)</f>
        <v>Área íntima</v>
      </c>
      <c r="E2" t="s">
        <v>26</v>
      </c>
      <c r="F2" t="s">
        <v>71</v>
      </c>
      <c r="G2" t="s">
        <v>72</v>
      </c>
      <c r="H2" t="s">
        <v>73</v>
      </c>
      <c r="I2" t="s">
        <v>74</v>
      </c>
      <c r="J2">
        <v>1</v>
      </c>
      <c r="K2" t="s">
        <v>75</v>
      </c>
      <c r="L2">
        <v>12</v>
      </c>
      <c r="M2" s="2">
        <v>45667</v>
      </c>
      <c r="N2" s="2">
        <f t="shared" ref="N2:N33" si="0">IF(M2="","",EDATE(M2,L2))</f>
        <v>46032</v>
      </c>
      <c r="O2">
        <f t="shared" ref="O2:O33" si="1">IF(N2="","",YEAR(N2))</f>
        <v>2026</v>
      </c>
      <c r="P2" t="str">
        <f t="shared" ref="P2:P33" si="2">IF(N2="","",TEXT(N2,"mmm"))</f>
        <v>jan</v>
      </c>
      <c r="Q2" s="3">
        <v>150</v>
      </c>
      <c r="R2" s="3">
        <f t="shared" ref="R2:R33" si="3">IF(OR(J2="",Q2=""),"",J2*Q2)</f>
        <v>150</v>
      </c>
      <c r="S2" t="s">
        <v>76</v>
      </c>
      <c r="T2" t="s">
        <v>77</v>
      </c>
      <c r="U2" t="str">
        <f t="shared" ref="U2:U33" ca="1" si="4">IF(N2="","Sem data",IF(N2&lt;TODAY(),"Vencido",IF(N2&lt;=TODAY()+30,"Próx. 30 dias",IF(N2&lt;=TODAY()+90,"Próx. 90 dias","Programado"))))</f>
        <v>Vencido</v>
      </c>
      <c r="V2" t="s">
        <v>78</v>
      </c>
      <c r="W2" t="s">
        <v>79</v>
      </c>
      <c r="X2" s="2">
        <v>51482</v>
      </c>
      <c r="Y2" s="2" cm="1">
        <f t="array" ref="Y2:AM2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2" s="2">
        <v>46032</v>
      </c>
      <c r="AA2" s="2">
        <v>46397</v>
      </c>
      <c r="AB2" s="2">
        <v>46762</v>
      </c>
      <c r="AC2" s="2">
        <v>47127</v>
      </c>
      <c r="AD2" s="2">
        <v>47492</v>
      </c>
      <c r="AE2" s="2">
        <v>47857</v>
      </c>
      <c r="AF2" s="2">
        <v>48222</v>
      </c>
      <c r="AG2" s="2">
        <v>48587</v>
      </c>
      <c r="AH2" s="2">
        <v>48952</v>
      </c>
      <c r="AI2" s="2">
        <v>49317</v>
      </c>
      <c r="AJ2" s="2">
        <v>49682</v>
      </c>
      <c r="AK2" s="2">
        <v>50047</v>
      </c>
      <c r="AL2" s="2">
        <v>50412</v>
      </c>
      <c r="AM2" s="2">
        <v>50777</v>
      </c>
    </row>
    <row r="3" spans="1:56">
      <c r="A3" t="s">
        <v>80</v>
      </c>
      <c r="B3" t="str">
        <f>_xlfn.XLOOKUP(TabelaAtivos[[#This Row],[Ambiente]],TabelaAmbientes[Ambiente],TabelaAmbientes[Cod_ambiente],"",0,1)</f>
        <v>S2B</v>
      </c>
      <c r="C3" t="s">
        <v>20</v>
      </c>
      <c r="D3" t="str">
        <f>_xlfn.XLOOKUP(TabelaAtivos[[#This Row],[Ambiente]],TabelaAmbientes[Ambiente],TabelaAmbientes[Zona],"",0,1)</f>
        <v>Área íntima</v>
      </c>
      <c r="E3" t="s">
        <v>19</v>
      </c>
      <c r="F3" t="s">
        <v>81</v>
      </c>
      <c r="G3" t="s">
        <v>72</v>
      </c>
      <c r="H3" t="s">
        <v>82</v>
      </c>
      <c r="I3" t="s">
        <v>83</v>
      </c>
      <c r="J3">
        <v>1</v>
      </c>
      <c r="K3" t="s">
        <v>75</v>
      </c>
      <c r="L3">
        <v>12</v>
      </c>
      <c r="M3" s="2">
        <v>45667</v>
      </c>
      <c r="N3" s="2">
        <f t="shared" si="0"/>
        <v>46032</v>
      </c>
      <c r="O3">
        <f t="shared" si="1"/>
        <v>2026</v>
      </c>
      <c r="P3" t="str">
        <f t="shared" si="2"/>
        <v>jan</v>
      </c>
      <c r="Q3" s="3">
        <v>80</v>
      </c>
      <c r="R3" s="3">
        <f t="shared" si="3"/>
        <v>80</v>
      </c>
      <c r="S3" t="s">
        <v>84</v>
      </c>
      <c r="T3" t="s">
        <v>77</v>
      </c>
      <c r="U3" t="str">
        <f t="shared" ca="1" si="4"/>
        <v>Vencido</v>
      </c>
      <c r="V3" t="s">
        <v>78</v>
      </c>
      <c r="X3" s="2">
        <v>51482</v>
      </c>
      <c r="Y3" s="2" cm="1">
        <f t="array" ref="Y3:AM3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3" s="2">
        <v>46032</v>
      </c>
      <c r="AA3" s="2">
        <v>46397</v>
      </c>
      <c r="AB3" s="2">
        <v>46762</v>
      </c>
      <c r="AC3" s="2">
        <v>47127</v>
      </c>
      <c r="AD3" s="2">
        <v>47492</v>
      </c>
      <c r="AE3" s="2">
        <v>47857</v>
      </c>
      <c r="AF3" s="2">
        <v>48222</v>
      </c>
      <c r="AG3" s="2">
        <v>48587</v>
      </c>
      <c r="AH3" s="2">
        <v>48952</v>
      </c>
      <c r="AI3" s="2">
        <v>49317</v>
      </c>
      <c r="AJ3" s="2">
        <v>49682</v>
      </c>
      <c r="AK3" s="2">
        <v>50047</v>
      </c>
      <c r="AL3" s="2">
        <v>50412</v>
      </c>
      <c r="AM3" s="2">
        <v>50777</v>
      </c>
    </row>
    <row r="4" spans="1:56">
      <c r="A4" t="s">
        <v>85</v>
      </c>
      <c r="B4" t="str">
        <f>_xlfn.XLOOKUP(TabelaAtivos[[#This Row],[Ambiente]],TabelaAmbientes[Ambiente],TabelaAmbientes[Cod_ambiente],"",0,1)</f>
        <v>S2B</v>
      </c>
      <c r="C4" t="s">
        <v>20</v>
      </c>
      <c r="D4" t="str">
        <f>_xlfn.XLOOKUP(TabelaAtivos[[#This Row],[Ambiente]],TabelaAmbientes[Ambiente],TabelaAmbientes[Zona],"",0,1)</f>
        <v>Área íntima</v>
      </c>
      <c r="E4" t="s">
        <v>26</v>
      </c>
      <c r="F4" t="s">
        <v>71</v>
      </c>
      <c r="G4" t="s">
        <v>86</v>
      </c>
      <c r="H4" t="s">
        <v>87</v>
      </c>
      <c r="I4" t="s">
        <v>88</v>
      </c>
      <c r="J4">
        <v>1</v>
      </c>
      <c r="K4" t="s">
        <v>75</v>
      </c>
      <c r="L4">
        <v>12</v>
      </c>
      <c r="M4" s="2">
        <v>45667</v>
      </c>
      <c r="N4" s="2">
        <f t="shared" si="0"/>
        <v>46032</v>
      </c>
      <c r="O4">
        <f t="shared" si="1"/>
        <v>2026</v>
      </c>
      <c r="P4" t="str">
        <f t="shared" si="2"/>
        <v>jan</v>
      </c>
      <c r="Q4" s="3">
        <v>150</v>
      </c>
      <c r="R4" s="3">
        <f t="shared" si="3"/>
        <v>150</v>
      </c>
      <c r="S4" t="s">
        <v>76</v>
      </c>
      <c r="T4" t="s">
        <v>77</v>
      </c>
      <c r="U4" t="str">
        <f t="shared" ca="1" si="4"/>
        <v>Vencido</v>
      </c>
      <c r="V4" t="s">
        <v>78</v>
      </c>
      <c r="X4" s="2">
        <v>51482</v>
      </c>
      <c r="Y4" s="2" cm="1">
        <f t="array" ref="Y4:AM4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4" s="2">
        <v>46032</v>
      </c>
      <c r="AA4" s="2">
        <v>46397</v>
      </c>
      <c r="AB4" s="2">
        <v>46762</v>
      </c>
      <c r="AC4" s="2">
        <v>47127</v>
      </c>
      <c r="AD4" s="2">
        <v>47492</v>
      </c>
      <c r="AE4" s="2">
        <v>47857</v>
      </c>
      <c r="AF4" s="2">
        <v>48222</v>
      </c>
      <c r="AG4" s="2">
        <v>48587</v>
      </c>
      <c r="AH4" s="2">
        <v>48952</v>
      </c>
      <c r="AI4" s="2">
        <v>49317</v>
      </c>
      <c r="AJ4" s="2">
        <v>49682</v>
      </c>
      <c r="AK4" s="2">
        <v>50047</v>
      </c>
      <c r="AL4" s="2">
        <v>50412</v>
      </c>
      <c r="AM4" s="2">
        <v>50777</v>
      </c>
    </row>
    <row r="5" spans="1:56">
      <c r="A5" t="s">
        <v>89</v>
      </c>
      <c r="B5" t="str">
        <f>_xlfn.XLOOKUP(TabelaAtivos[[#This Row],[Ambiente]],TabelaAmbientes[Ambiente],TabelaAmbientes[Cod_ambiente],"",0,1)</f>
        <v>SALA</v>
      </c>
      <c r="C5" t="s">
        <v>32</v>
      </c>
      <c r="D5" t="str">
        <f>_xlfn.XLOOKUP(TabelaAtivos[[#This Row],[Ambiente]],TabelaAmbientes[Ambiente],TabelaAmbientes[Zona],"",0,1)</f>
        <v>Social</v>
      </c>
      <c r="E5" t="s">
        <v>10</v>
      </c>
      <c r="F5" t="s">
        <v>92</v>
      </c>
      <c r="G5" t="s">
        <v>93</v>
      </c>
      <c r="H5" t="s">
        <v>94</v>
      </c>
      <c r="I5" t="s">
        <v>95</v>
      </c>
      <c r="J5">
        <v>1</v>
      </c>
      <c r="K5" t="s">
        <v>75</v>
      </c>
      <c r="L5">
        <v>6</v>
      </c>
      <c r="M5" s="2">
        <v>45667</v>
      </c>
      <c r="N5" s="2">
        <f t="shared" si="0"/>
        <v>45848</v>
      </c>
      <c r="O5">
        <f t="shared" si="1"/>
        <v>2025</v>
      </c>
      <c r="P5" t="str">
        <f t="shared" si="2"/>
        <v>jul</v>
      </c>
      <c r="Q5" s="3">
        <v>180</v>
      </c>
      <c r="R5" s="3">
        <f t="shared" si="3"/>
        <v>180</v>
      </c>
      <c r="S5" t="s">
        <v>96</v>
      </c>
      <c r="T5" t="s">
        <v>97</v>
      </c>
      <c r="U5" t="str">
        <f t="shared" ca="1" si="4"/>
        <v>Vencido</v>
      </c>
      <c r="V5" t="s">
        <v>98</v>
      </c>
      <c r="X5" s="2">
        <v>51482</v>
      </c>
      <c r="Y5" s="2" cm="1">
        <f t="array" ref="Y5:BD5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5" s="2">
        <v>45848</v>
      </c>
      <c r="AA5" s="2">
        <v>46029</v>
      </c>
      <c r="AB5" s="2">
        <v>46210</v>
      </c>
      <c r="AC5" s="2">
        <v>46391</v>
      </c>
      <c r="AD5" s="2">
        <v>46572</v>
      </c>
      <c r="AE5" s="2">
        <v>46753</v>
      </c>
      <c r="AF5" s="2">
        <v>46934</v>
      </c>
      <c r="AG5" s="2">
        <v>47115</v>
      </c>
      <c r="AH5" s="2">
        <v>47296</v>
      </c>
      <c r="AI5" s="2">
        <v>47477</v>
      </c>
      <c r="AJ5" s="2">
        <v>47658</v>
      </c>
      <c r="AK5" s="2">
        <v>47839</v>
      </c>
      <c r="AL5" s="2">
        <v>48020</v>
      </c>
      <c r="AM5" s="2">
        <v>48201</v>
      </c>
      <c r="AN5" s="2">
        <v>48382</v>
      </c>
      <c r="AO5" s="2">
        <v>48563</v>
      </c>
      <c r="AP5" s="2">
        <v>48744</v>
      </c>
      <c r="AQ5" s="2">
        <v>48925</v>
      </c>
      <c r="AR5" s="2">
        <v>49106</v>
      </c>
      <c r="AS5" s="2">
        <v>49287</v>
      </c>
      <c r="AT5" s="2">
        <v>49468</v>
      </c>
      <c r="AU5" s="2">
        <v>49649</v>
      </c>
      <c r="AV5" s="2">
        <v>49830</v>
      </c>
      <c r="AW5" s="2">
        <v>50011</v>
      </c>
      <c r="AX5" s="2">
        <v>50192</v>
      </c>
      <c r="AY5" s="2">
        <v>50373</v>
      </c>
      <c r="AZ5" s="2">
        <v>50554</v>
      </c>
      <c r="BA5" s="2">
        <v>50735</v>
      </c>
      <c r="BB5" s="2">
        <v>50916</v>
      </c>
      <c r="BC5" s="2">
        <v>51097</v>
      </c>
      <c r="BD5" s="2">
        <v>51278</v>
      </c>
    </row>
    <row r="6" spans="1:56">
      <c r="A6" t="s">
        <v>99</v>
      </c>
      <c r="B6" t="str">
        <f>_xlfn.XLOOKUP(TabelaAtivos[[#This Row],[Ambiente]],TabelaAmbientes[Ambiente],TabelaAmbientes[Cod_ambiente],"",0,1)</f>
        <v>S1</v>
      </c>
      <c r="C6" t="s">
        <v>11</v>
      </c>
      <c r="D6" t="str">
        <f>_xlfn.XLOOKUP(TabelaAtivos[[#This Row],[Ambiente]],TabelaAmbientes[Ambiente],TabelaAmbientes[Zona],"",0,1)</f>
        <v>Área íntima</v>
      </c>
      <c r="E6" t="s">
        <v>10</v>
      </c>
      <c r="F6" t="s">
        <v>92</v>
      </c>
      <c r="G6" t="s">
        <v>93</v>
      </c>
      <c r="H6" t="s">
        <v>94</v>
      </c>
      <c r="I6" t="s">
        <v>95</v>
      </c>
      <c r="J6">
        <v>1</v>
      </c>
      <c r="K6" t="s">
        <v>75</v>
      </c>
      <c r="L6">
        <v>6</v>
      </c>
      <c r="M6" s="2">
        <v>45667</v>
      </c>
      <c r="N6" s="2">
        <f t="shared" si="0"/>
        <v>45848</v>
      </c>
      <c r="O6">
        <f t="shared" si="1"/>
        <v>2025</v>
      </c>
      <c r="P6" t="str">
        <f t="shared" si="2"/>
        <v>jul</v>
      </c>
      <c r="Q6" s="3">
        <v>180</v>
      </c>
      <c r="R6" s="3">
        <f t="shared" si="3"/>
        <v>180</v>
      </c>
      <c r="S6" t="s">
        <v>96</v>
      </c>
      <c r="T6" t="s">
        <v>77</v>
      </c>
      <c r="U6" t="str">
        <f t="shared" ca="1" si="4"/>
        <v>Vencido</v>
      </c>
      <c r="V6" t="s">
        <v>98</v>
      </c>
      <c r="X6" s="2">
        <v>51482</v>
      </c>
      <c r="Y6" s="2" cm="1">
        <f t="array" ref="Y6:BD6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6" s="2">
        <v>45848</v>
      </c>
      <c r="AA6" s="2">
        <v>46029</v>
      </c>
      <c r="AB6" s="2">
        <v>46210</v>
      </c>
      <c r="AC6" s="2">
        <v>46391</v>
      </c>
      <c r="AD6" s="2">
        <v>46572</v>
      </c>
      <c r="AE6" s="2">
        <v>46753</v>
      </c>
      <c r="AF6" s="2">
        <v>46934</v>
      </c>
      <c r="AG6" s="2">
        <v>47115</v>
      </c>
      <c r="AH6" s="2">
        <v>47296</v>
      </c>
      <c r="AI6" s="2">
        <v>47477</v>
      </c>
      <c r="AJ6" s="2">
        <v>47658</v>
      </c>
      <c r="AK6" s="2">
        <v>47839</v>
      </c>
      <c r="AL6" s="2">
        <v>48020</v>
      </c>
      <c r="AM6" s="2">
        <v>48201</v>
      </c>
      <c r="AN6" s="2">
        <v>48382</v>
      </c>
      <c r="AO6" s="2">
        <v>48563</v>
      </c>
      <c r="AP6" s="2">
        <v>48744</v>
      </c>
      <c r="AQ6" s="2">
        <v>48925</v>
      </c>
      <c r="AR6" s="2">
        <v>49106</v>
      </c>
      <c r="AS6" s="2">
        <v>49287</v>
      </c>
      <c r="AT6" s="2">
        <v>49468</v>
      </c>
      <c r="AU6" s="2">
        <v>49649</v>
      </c>
      <c r="AV6" s="2">
        <v>49830</v>
      </c>
      <c r="AW6" s="2">
        <v>50011</v>
      </c>
      <c r="AX6" s="2">
        <v>50192</v>
      </c>
      <c r="AY6" s="2">
        <v>50373</v>
      </c>
      <c r="AZ6" s="2">
        <v>50554</v>
      </c>
      <c r="BA6" s="2">
        <v>50735</v>
      </c>
      <c r="BB6" s="2">
        <v>50916</v>
      </c>
      <c r="BC6" s="2">
        <v>51097</v>
      </c>
      <c r="BD6" s="2">
        <v>51278</v>
      </c>
    </row>
    <row r="7" spans="1:56">
      <c r="A7" t="s">
        <v>101</v>
      </c>
      <c r="B7" t="str">
        <f>_xlfn.XLOOKUP(TabelaAtivos[[#This Row],[Ambiente]],TabelaAmbientes[Ambiente],TabelaAmbientes[Cod_ambiente],"",0,1)</f>
        <v>S2</v>
      </c>
      <c r="C7" t="s">
        <v>17</v>
      </c>
      <c r="D7" t="str">
        <f>_xlfn.XLOOKUP(TabelaAtivos[[#This Row],[Ambiente]],TabelaAmbientes[Ambiente],TabelaAmbientes[Zona],"",0,1)</f>
        <v>Área íntima</v>
      </c>
      <c r="E7" t="s">
        <v>10</v>
      </c>
      <c r="F7" t="s">
        <v>92</v>
      </c>
      <c r="G7" t="s">
        <v>93</v>
      </c>
      <c r="H7" t="s">
        <v>94</v>
      </c>
      <c r="I7" t="s">
        <v>95</v>
      </c>
      <c r="J7">
        <v>1</v>
      </c>
      <c r="K7" t="s">
        <v>75</v>
      </c>
      <c r="L7">
        <v>6</v>
      </c>
      <c r="M7" s="2">
        <v>45667</v>
      </c>
      <c r="N7" s="2">
        <f t="shared" si="0"/>
        <v>45848</v>
      </c>
      <c r="O7">
        <f t="shared" si="1"/>
        <v>2025</v>
      </c>
      <c r="P7" t="str">
        <f t="shared" si="2"/>
        <v>jul</v>
      </c>
      <c r="Q7" s="3">
        <v>180</v>
      </c>
      <c r="R7" s="3">
        <f t="shared" si="3"/>
        <v>180</v>
      </c>
      <c r="S7" t="s">
        <v>96</v>
      </c>
      <c r="T7" t="s">
        <v>77</v>
      </c>
      <c r="U7" t="str">
        <f t="shared" ca="1" si="4"/>
        <v>Vencido</v>
      </c>
      <c r="V7" t="s">
        <v>98</v>
      </c>
      <c r="X7" s="2">
        <v>51482</v>
      </c>
      <c r="Y7" s="2" cm="1">
        <f t="array" ref="Y7:BD7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7" s="2">
        <v>45848</v>
      </c>
      <c r="AA7" s="2">
        <v>46029</v>
      </c>
      <c r="AB7" s="2">
        <v>46210</v>
      </c>
      <c r="AC7" s="2">
        <v>46391</v>
      </c>
      <c r="AD7" s="2">
        <v>46572</v>
      </c>
      <c r="AE7" s="2">
        <v>46753</v>
      </c>
      <c r="AF7" s="2">
        <v>46934</v>
      </c>
      <c r="AG7" s="2">
        <v>47115</v>
      </c>
      <c r="AH7" s="2">
        <v>47296</v>
      </c>
      <c r="AI7" s="2">
        <v>47477</v>
      </c>
      <c r="AJ7" s="2">
        <v>47658</v>
      </c>
      <c r="AK7" s="2">
        <v>47839</v>
      </c>
      <c r="AL7" s="2">
        <v>48020</v>
      </c>
      <c r="AM7" s="2">
        <v>48201</v>
      </c>
      <c r="AN7" s="2">
        <v>48382</v>
      </c>
      <c r="AO7" s="2">
        <v>48563</v>
      </c>
      <c r="AP7" s="2">
        <v>48744</v>
      </c>
      <c r="AQ7" s="2">
        <v>48925</v>
      </c>
      <c r="AR7" s="2">
        <v>49106</v>
      </c>
      <c r="AS7" s="2">
        <v>49287</v>
      </c>
      <c r="AT7" s="2">
        <v>49468</v>
      </c>
      <c r="AU7" s="2">
        <v>49649</v>
      </c>
      <c r="AV7" s="2">
        <v>49830</v>
      </c>
      <c r="AW7" s="2">
        <v>50011</v>
      </c>
      <c r="AX7" s="2">
        <v>50192</v>
      </c>
      <c r="AY7" s="2">
        <v>50373</v>
      </c>
      <c r="AZ7" s="2">
        <v>50554</v>
      </c>
      <c r="BA7" s="2">
        <v>50735</v>
      </c>
      <c r="BB7" s="2">
        <v>50916</v>
      </c>
      <c r="BC7" s="2">
        <v>51097</v>
      </c>
      <c r="BD7" s="2">
        <v>51278</v>
      </c>
    </row>
    <row r="8" spans="1:56">
      <c r="A8" t="s">
        <v>103</v>
      </c>
      <c r="B8" t="str">
        <f>_xlfn.XLOOKUP(TabelaAtivos[[#This Row],[Ambiente]],TabelaAmbientes[Ambiente],TabelaAmbientes[Cod_ambiente],"",0,1)</f>
        <v>S3</v>
      </c>
      <c r="C8" t="s">
        <v>22</v>
      </c>
      <c r="D8" t="str">
        <f>_xlfn.XLOOKUP(TabelaAtivos[[#This Row],[Ambiente]],TabelaAmbientes[Ambiente],TabelaAmbientes[Zona],"",0,1)</f>
        <v>Área íntima</v>
      </c>
      <c r="E8" t="s">
        <v>10</v>
      </c>
      <c r="F8" t="s">
        <v>92</v>
      </c>
      <c r="G8" t="s">
        <v>93</v>
      </c>
      <c r="H8" t="s">
        <v>94</v>
      </c>
      <c r="I8" t="s">
        <v>95</v>
      </c>
      <c r="J8">
        <v>1</v>
      </c>
      <c r="K8" t="s">
        <v>75</v>
      </c>
      <c r="L8">
        <v>6</v>
      </c>
      <c r="M8" s="2">
        <v>45667</v>
      </c>
      <c r="N8" s="2">
        <f t="shared" si="0"/>
        <v>45848</v>
      </c>
      <c r="O8">
        <f t="shared" si="1"/>
        <v>2025</v>
      </c>
      <c r="P8" t="str">
        <f t="shared" si="2"/>
        <v>jul</v>
      </c>
      <c r="Q8" s="3">
        <v>180</v>
      </c>
      <c r="R8" s="3">
        <f t="shared" si="3"/>
        <v>180</v>
      </c>
      <c r="S8" t="s">
        <v>96</v>
      </c>
      <c r="T8" t="s">
        <v>77</v>
      </c>
      <c r="U8" t="str">
        <f t="shared" ca="1" si="4"/>
        <v>Vencido</v>
      </c>
      <c r="V8" t="s">
        <v>98</v>
      </c>
      <c r="X8" s="2">
        <v>51482</v>
      </c>
      <c r="Y8" s="2" cm="1">
        <f t="array" ref="Y8:BD8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8" s="2">
        <v>45848</v>
      </c>
      <c r="AA8" s="2">
        <v>46029</v>
      </c>
      <c r="AB8" s="2">
        <v>46210</v>
      </c>
      <c r="AC8" s="2">
        <v>46391</v>
      </c>
      <c r="AD8" s="2">
        <v>46572</v>
      </c>
      <c r="AE8" s="2">
        <v>46753</v>
      </c>
      <c r="AF8" s="2">
        <v>46934</v>
      </c>
      <c r="AG8" s="2">
        <v>47115</v>
      </c>
      <c r="AH8" s="2">
        <v>47296</v>
      </c>
      <c r="AI8" s="2">
        <v>47477</v>
      </c>
      <c r="AJ8" s="2">
        <v>47658</v>
      </c>
      <c r="AK8" s="2">
        <v>47839</v>
      </c>
      <c r="AL8" s="2">
        <v>48020</v>
      </c>
      <c r="AM8" s="2">
        <v>48201</v>
      </c>
      <c r="AN8" s="2">
        <v>48382</v>
      </c>
      <c r="AO8" s="2">
        <v>48563</v>
      </c>
      <c r="AP8" s="2">
        <v>48744</v>
      </c>
      <c r="AQ8" s="2">
        <v>48925</v>
      </c>
      <c r="AR8" s="2">
        <v>49106</v>
      </c>
      <c r="AS8" s="2">
        <v>49287</v>
      </c>
      <c r="AT8" s="2">
        <v>49468</v>
      </c>
      <c r="AU8" s="2">
        <v>49649</v>
      </c>
      <c r="AV8" s="2">
        <v>49830</v>
      </c>
      <c r="AW8" s="2">
        <v>50011</v>
      </c>
      <c r="AX8" s="2">
        <v>50192</v>
      </c>
      <c r="AY8" s="2">
        <v>50373</v>
      </c>
      <c r="AZ8" s="2">
        <v>50554</v>
      </c>
      <c r="BA8" s="2">
        <v>50735</v>
      </c>
      <c r="BB8" s="2">
        <v>50916</v>
      </c>
      <c r="BC8" s="2">
        <v>51097</v>
      </c>
      <c r="BD8" s="2">
        <v>51278</v>
      </c>
    </row>
    <row r="9" spans="1:56">
      <c r="A9" t="s">
        <v>105</v>
      </c>
      <c r="B9" t="str">
        <f>_xlfn.XLOOKUP(TabelaAtivos[[#This Row],[Ambiente]],TabelaAmbientes[Ambiente],TabelaAmbientes[Cod_ambiente],"",0,1)</f>
        <v>SALA</v>
      </c>
      <c r="C9" t="s">
        <v>32</v>
      </c>
      <c r="D9" t="str">
        <f>_xlfn.XLOOKUP(TabelaAtivos[[#This Row],[Ambiente]],TabelaAmbientes[Ambiente],TabelaAmbientes[Zona],"",0,1)</f>
        <v>Social</v>
      </c>
      <c r="E9" t="s">
        <v>16</v>
      </c>
      <c r="F9" t="s">
        <v>106</v>
      </c>
      <c r="G9" t="s">
        <v>107</v>
      </c>
      <c r="H9" t="s">
        <v>108</v>
      </c>
      <c r="I9" t="s">
        <v>109</v>
      </c>
      <c r="J9">
        <v>1</v>
      </c>
      <c r="K9" t="s">
        <v>75</v>
      </c>
      <c r="L9">
        <v>24</v>
      </c>
      <c r="M9" s="2">
        <v>45667</v>
      </c>
      <c r="N9" s="2">
        <f t="shared" si="0"/>
        <v>46397</v>
      </c>
      <c r="O9">
        <f t="shared" si="1"/>
        <v>2027</v>
      </c>
      <c r="P9" t="str">
        <f t="shared" si="2"/>
        <v>jan</v>
      </c>
      <c r="Q9" s="3">
        <v>20000</v>
      </c>
      <c r="R9" s="3">
        <f t="shared" si="3"/>
        <v>20000</v>
      </c>
      <c r="S9" t="s">
        <v>76</v>
      </c>
      <c r="T9" t="s">
        <v>77</v>
      </c>
      <c r="U9" t="str">
        <f t="shared" ca="1" si="4"/>
        <v>Programado</v>
      </c>
      <c r="V9" t="s">
        <v>110</v>
      </c>
      <c r="W9" t="s">
        <v>111</v>
      </c>
      <c r="X9" s="2">
        <v>51482</v>
      </c>
      <c r="Y9" s="2" cm="1">
        <f t="array" ref="Y9:AE9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9" s="2">
        <v>46397</v>
      </c>
      <c r="AA9" s="2">
        <v>47127</v>
      </c>
      <c r="AB9" s="2">
        <v>47857</v>
      </c>
      <c r="AC9" s="2">
        <v>48587</v>
      </c>
      <c r="AD9" s="2">
        <v>49317</v>
      </c>
      <c r="AE9" s="2">
        <v>50047</v>
      </c>
    </row>
    <row r="10" spans="1:56">
      <c r="A10" t="s">
        <v>112</v>
      </c>
      <c r="B10" t="str">
        <f>_xlfn.XLOOKUP(TabelaAtivos[[#This Row],[Ambiente]],TabelaAmbientes[Ambiente],TabelaAmbientes[Cod_ambiente],"",0,1)</f>
        <v>ESC1</v>
      </c>
      <c r="C10" t="s">
        <v>27</v>
      </c>
      <c r="D10" t="str">
        <f>_xlfn.XLOOKUP(TabelaAtivos[[#This Row],[Ambiente]],TabelaAmbientes[Ambiente],TabelaAmbientes[Zona],"",0,1)</f>
        <v>Trabalho</v>
      </c>
      <c r="E10" t="s">
        <v>16</v>
      </c>
      <c r="F10" t="s">
        <v>115</v>
      </c>
      <c r="G10" t="s">
        <v>116</v>
      </c>
      <c r="H10" t="s">
        <v>117</v>
      </c>
      <c r="I10" t="s">
        <v>109</v>
      </c>
      <c r="J10">
        <v>1</v>
      </c>
      <c r="K10" t="s">
        <v>118</v>
      </c>
      <c r="L10">
        <v>24</v>
      </c>
      <c r="M10" s="2">
        <v>45667</v>
      </c>
      <c r="N10" s="2">
        <f t="shared" si="0"/>
        <v>46397</v>
      </c>
      <c r="O10">
        <f t="shared" si="1"/>
        <v>2027</v>
      </c>
      <c r="P10" t="str">
        <f t="shared" si="2"/>
        <v>jan</v>
      </c>
      <c r="Q10" s="3">
        <v>100</v>
      </c>
      <c r="R10" s="3">
        <f t="shared" si="3"/>
        <v>100</v>
      </c>
      <c r="S10" t="s">
        <v>84</v>
      </c>
      <c r="T10" t="s">
        <v>77</v>
      </c>
      <c r="U10" t="str">
        <f t="shared" ca="1" si="4"/>
        <v>Programado</v>
      </c>
      <c r="V10" t="s">
        <v>110</v>
      </c>
      <c r="X10" s="2">
        <v>51482</v>
      </c>
      <c r="Y10" s="2" cm="1">
        <f t="array" ref="Y10:AE10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10" s="2">
        <v>46397</v>
      </c>
      <c r="AA10" s="2">
        <v>47127</v>
      </c>
      <c r="AB10" s="2">
        <v>47857</v>
      </c>
      <c r="AC10" s="2">
        <v>48587</v>
      </c>
      <c r="AD10" s="2">
        <v>49317</v>
      </c>
      <c r="AE10" s="2">
        <v>50047</v>
      </c>
    </row>
    <row r="11" spans="1:56">
      <c r="A11" t="s">
        <v>119</v>
      </c>
      <c r="B11" t="str">
        <f>_xlfn.XLOOKUP(TabelaAtivos[[#This Row],[Ambiente]],TabelaAmbientes[Ambiente],TabelaAmbientes[Cod_ambiente],"",0,1)</f>
        <v>COPA</v>
      </c>
      <c r="C11" t="s">
        <v>38</v>
      </c>
      <c r="D11" t="str">
        <f>_xlfn.XLOOKUP(TabelaAtivos[[#This Row],[Ambiente]],TabelaAmbientes[Ambiente],TabelaAmbientes[Zona],"",0,1)</f>
        <v>Serviço</v>
      </c>
      <c r="E11" t="s">
        <v>23</v>
      </c>
      <c r="F11" t="s">
        <v>122</v>
      </c>
      <c r="G11" t="s">
        <v>123</v>
      </c>
      <c r="H11" t="s">
        <v>124</v>
      </c>
      <c r="I11" t="s">
        <v>125</v>
      </c>
      <c r="J11">
        <v>1</v>
      </c>
      <c r="K11" t="s">
        <v>75</v>
      </c>
      <c r="L11">
        <v>12</v>
      </c>
      <c r="M11" s="2">
        <v>45667</v>
      </c>
      <c r="N11" s="2">
        <f t="shared" si="0"/>
        <v>46032</v>
      </c>
      <c r="O11">
        <f t="shared" si="1"/>
        <v>2026</v>
      </c>
      <c r="P11" t="str">
        <f t="shared" si="2"/>
        <v>jan</v>
      </c>
      <c r="Q11" s="3">
        <v>180</v>
      </c>
      <c r="R11" s="3">
        <f t="shared" si="3"/>
        <v>180</v>
      </c>
      <c r="S11" t="s">
        <v>96</v>
      </c>
      <c r="T11" t="s">
        <v>77</v>
      </c>
      <c r="U11" t="str">
        <f t="shared" ca="1" si="4"/>
        <v>Vencido</v>
      </c>
      <c r="V11" t="s">
        <v>126</v>
      </c>
      <c r="X11" s="2">
        <v>51482</v>
      </c>
      <c r="Y11" s="2" cm="1">
        <f t="array" ref="Y11:AM11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11" s="2">
        <v>46032</v>
      </c>
      <c r="AA11" s="2">
        <v>46397</v>
      </c>
      <c r="AB11" s="2">
        <v>46762</v>
      </c>
      <c r="AC11" s="2">
        <v>47127</v>
      </c>
      <c r="AD11" s="2">
        <v>47492</v>
      </c>
      <c r="AE11" s="2">
        <v>47857</v>
      </c>
      <c r="AF11" s="2">
        <v>48222</v>
      </c>
      <c r="AG11" s="2">
        <v>48587</v>
      </c>
      <c r="AH11" s="2">
        <v>48952</v>
      </c>
      <c r="AI11" s="2">
        <v>49317</v>
      </c>
      <c r="AJ11" s="2">
        <v>49682</v>
      </c>
      <c r="AK11" s="2">
        <v>50047</v>
      </c>
      <c r="AL11" s="2">
        <v>50412</v>
      </c>
      <c r="AM11" s="2">
        <v>50777</v>
      </c>
    </row>
    <row r="12" spans="1:56">
      <c r="A12" t="s">
        <v>127</v>
      </c>
      <c r="B12" t="str">
        <f>_xlfn.XLOOKUP(TabelaAtivos[[#This Row],[Ambiente]],TabelaAmbientes[Ambiente],TabelaAmbientes[Cod_ambiente],"",0,1)</f>
        <v>SALA</v>
      </c>
      <c r="C12" t="s">
        <v>32</v>
      </c>
      <c r="D12" t="str">
        <f>_xlfn.XLOOKUP(TabelaAtivos[[#This Row],[Ambiente]],TabelaAmbientes[Ambiente],TabelaAmbientes[Zona],"",0,1)</f>
        <v>Social</v>
      </c>
      <c r="E12" t="s">
        <v>33</v>
      </c>
      <c r="F12" t="s">
        <v>128</v>
      </c>
      <c r="G12" t="s">
        <v>129</v>
      </c>
      <c r="H12" t="s">
        <v>33</v>
      </c>
      <c r="I12" t="s">
        <v>130</v>
      </c>
      <c r="J12">
        <v>1</v>
      </c>
      <c r="K12" t="s">
        <v>131</v>
      </c>
      <c r="L12">
        <v>48</v>
      </c>
      <c r="M12" s="2">
        <v>45301</v>
      </c>
      <c r="N12" s="2">
        <f t="shared" si="0"/>
        <v>46762</v>
      </c>
      <c r="O12">
        <f t="shared" si="1"/>
        <v>2028</v>
      </c>
      <c r="P12" t="str">
        <f t="shared" si="2"/>
        <v>jan</v>
      </c>
      <c r="Q12" s="3">
        <v>2500</v>
      </c>
      <c r="R12" s="3">
        <f t="shared" si="3"/>
        <v>2500</v>
      </c>
      <c r="S12" t="s">
        <v>76</v>
      </c>
      <c r="T12" t="s">
        <v>77</v>
      </c>
      <c r="U12" t="str">
        <f t="shared" ca="1" si="4"/>
        <v>Programado</v>
      </c>
      <c r="V12" t="s">
        <v>132</v>
      </c>
      <c r="W12" t="s">
        <v>133</v>
      </c>
      <c r="X12" s="2">
        <v>51482</v>
      </c>
      <c r="Y12" s="2" cm="1">
        <f t="array" ref="Y12:AB12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45301</v>
      </c>
      <c r="Z12" s="2">
        <v>46762</v>
      </c>
      <c r="AA12" s="2">
        <v>48223</v>
      </c>
      <c r="AB12" s="2">
        <v>49684</v>
      </c>
    </row>
    <row r="13" spans="1:56">
      <c r="A13" t="s">
        <v>134</v>
      </c>
      <c r="B13" t="str">
        <f>_xlfn.XLOOKUP(TabelaAtivos[[#This Row],[Ambiente]],TabelaAmbientes[Ambiente],TabelaAmbientes[Cod_ambiente],"",0,1)</f>
        <v>VAR</v>
      </c>
      <c r="C13" t="s">
        <v>34</v>
      </c>
      <c r="D13" t="str">
        <f>_xlfn.XLOOKUP(TabelaAtivos[[#This Row],[Ambiente]],TabelaAmbientes[Ambiente],TabelaAmbientes[Zona],"",0,1)</f>
        <v>Social</v>
      </c>
      <c r="E13" t="s">
        <v>35</v>
      </c>
      <c r="F13" t="s">
        <v>136</v>
      </c>
      <c r="G13" t="s">
        <v>136</v>
      </c>
      <c r="H13" t="s">
        <v>137</v>
      </c>
      <c r="I13" t="s">
        <v>138</v>
      </c>
      <c r="J13">
        <v>1</v>
      </c>
      <c r="K13" t="s">
        <v>131</v>
      </c>
      <c r="L13">
        <v>36</v>
      </c>
      <c r="M13" s="2">
        <v>45301</v>
      </c>
      <c r="N13" s="2">
        <f t="shared" si="0"/>
        <v>46397</v>
      </c>
      <c r="O13">
        <f t="shared" si="1"/>
        <v>2027</v>
      </c>
      <c r="P13" t="str">
        <f t="shared" si="2"/>
        <v>jan</v>
      </c>
      <c r="Q13" s="3">
        <v>600</v>
      </c>
      <c r="R13" s="3">
        <f t="shared" si="3"/>
        <v>600</v>
      </c>
      <c r="S13" t="s">
        <v>76</v>
      </c>
      <c r="T13" t="s">
        <v>77</v>
      </c>
      <c r="U13" t="str">
        <f t="shared" ca="1" si="4"/>
        <v>Programado</v>
      </c>
      <c r="V13" t="s">
        <v>139</v>
      </c>
      <c r="X13" s="2">
        <v>51482</v>
      </c>
      <c r="Y13" s="2" cm="1">
        <f t="array" ref="Y13:AC13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45301</v>
      </c>
      <c r="Z13" s="2">
        <v>46397</v>
      </c>
      <c r="AA13" s="2">
        <v>47493</v>
      </c>
      <c r="AB13" s="2">
        <v>48589</v>
      </c>
      <c r="AC13" s="2">
        <v>49685</v>
      </c>
    </row>
    <row r="14" spans="1:56">
      <c r="A14" t="s">
        <v>140</v>
      </c>
      <c r="B14" t="str">
        <f>_xlfn.XLOOKUP(TabelaAtivos[[#This Row],[Ambiente]],TabelaAmbientes[Ambiente],TabelaAmbientes[Cod_ambiente],"",0,1)</f>
        <v>VAR</v>
      </c>
      <c r="C14" t="s">
        <v>34</v>
      </c>
      <c r="D14" t="str">
        <f>_xlfn.XLOOKUP(TabelaAtivos[[#This Row],[Ambiente]],TabelaAmbientes[Ambiente],TabelaAmbientes[Zona],"",0,1)</f>
        <v>Social</v>
      </c>
      <c r="E14" t="s">
        <v>21</v>
      </c>
      <c r="F14" t="s">
        <v>141</v>
      </c>
      <c r="G14" t="s">
        <v>142</v>
      </c>
      <c r="H14" t="s">
        <v>143</v>
      </c>
      <c r="I14" t="s">
        <v>144</v>
      </c>
      <c r="J14">
        <v>1</v>
      </c>
      <c r="K14" t="s">
        <v>75</v>
      </c>
      <c r="L14">
        <v>12</v>
      </c>
      <c r="M14" s="2">
        <v>45667</v>
      </c>
      <c r="N14" s="2">
        <f t="shared" si="0"/>
        <v>46032</v>
      </c>
      <c r="O14">
        <f t="shared" si="1"/>
        <v>2026</v>
      </c>
      <c r="P14" t="str">
        <f t="shared" si="2"/>
        <v>jan</v>
      </c>
      <c r="Q14" s="3">
        <v>120</v>
      </c>
      <c r="R14" s="3">
        <f t="shared" si="3"/>
        <v>120</v>
      </c>
      <c r="S14" t="s">
        <v>76</v>
      </c>
      <c r="T14" t="s">
        <v>97</v>
      </c>
      <c r="U14" t="str">
        <f t="shared" ca="1" si="4"/>
        <v>Vencido</v>
      </c>
      <c r="V14" t="s">
        <v>145</v>
      </c>
      <c r="X14" s="2">
        <v>51482</v>
      </c>
      <c r="Y14" s="2" cm="1">
        <f t="array" ref="Y14:AM14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14" s="2">
        <v>46032</v>
      </c>
      <c r="AA14" s="2">
        <v>46397</v>
      </c>
      <c r="AB14" s="2">
        <v>46762</v>
      </c>
      <c r="AC14" s="2">
        <v>47127</v>
      </c>
      <c r="AD14" s="2">
        <v>47492</v>
      </c>
      <c r="AE14" s="2">
        <v>47857</v>
      </c>
      <c r="AF14" s="2">
        <v>48222</v>
      </c>
      <c r="AG14" s="2">
        <v>48587</v>
      </c>
      <c r="AH14" s="2">
        <v>48952</v>
      </c>
      <c r="AI14" s="2">
        <v>49317</v>
      </c>
      <c r="AJ14" s="2">
        <v>49682</v>
      </c>
      <c r="AK14" s="2">
        <v>50047</v>
      </c>
      <c r="AL14" s="2">
        <v>50412</v>
      </c>
      <c r="AM14" s="2">
        <v>50777</v>
      </c>
    </row>
    <row r="15" spans="1:56">
      <c r="A15" t="s">
        <v>146</v>
      </c>
      <c r="B15" t="str">
        <f>_xlfn.XLOOKUP(TabelaAtivos[[#This Row],[Ambiente]],TabelaAmbientes[Ambiente],TabelaAmbientes[Cod_ambiente],"",0,1)</f>
        <v>COPA</v>
      </c>
      <c r="C15" t="s">
        <v>38</v>
      </c>
      <c r="D15" t="str">
        <f>_xlfn.XLOOKUP(TabelaAtivos[[#This Row],[Ambiente]],TabelaAmbientes[Ambiente],TabelaAmbientes[Zona],"",0,1)</f>
        <v>Serviço</v>
      </c>
      <c r="E15" t="s">
        <v>31</v>
      </c>
      <c r="F15" t="s">
        <v>147</v>
      </c>
      <c r="G15" t="s">
        <v>148</v>
      </c>
      <c r="H15" t="s">
        <v>149</v>
      </c>
      <c r="I15" t="s">
        <v>150</v>
      </c>
      <c r="J15">
        <v>1</v>
      </c>
      <c r="K15" t="s">
        <v>131</v>
      </c>
      <c r="L15">
        <v>12</v>
      </c>
      <c r="M15" s="2">
        <v>45667</v>
      </c>
      <c r="N15" s="2">
        <f t="shared" si="0"/>
        <v>46032</v>
      </c>
      <c r="O15">
        <f t="shared" si="1"/>
        <v>2026</v>
      </c>
      <c r="P15" t="str">
        <f t="shared" si="2"/>
        <v>jan</v>
      </c>
      <c r="Q15" s="3">
        <v>150</v>
      </c>
      <c r="R15" s="3">
        <f t="shared" si="3"/>
        <v>150</v>
      </c>
      <c r="S15" t="s">
        <v>84</v>
      </c>
      <c r="T15" t="s">
        <v>77</v>
      </c>
      <c r="U15" t="str">
        <f t="shared" ca="1" si="4"/>
        <v>Vencido</v>
      </c>
      <c r="V15" t="s">
        <v>151</v>
      </c>
      <c r="X15" s="2">
        <v>51482</v>
      </c>
      <c r="Y15" s="2" cm="1">
        <f t="array" ref="Y15:AM15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15" s="2">
        <v>46032</v>
      </c>
      <c r="AA15" s="2">
        <v>46397</v>
      </c>
      <c r="AB15" s="2">
        <v>46762</v>
      </c>
      <c r="AC15" s="2">
        <v>47127</v>
      </c>
      <c r="AD15" s="2">
        <v>47492</v>
      </c>
      <c r="AE15" s="2">
        <v>47857</v>
      </c>
      <c r="AF15" s="2">
        <v>48222</v>
      </c>
      <c r="AG15" s="2">
        <v>48587</v>
      </c>
      <c r="AH15" s="2">
        <v>48952</v>
      </c>
      <c r="AI15" s="2">
        <v>49317</v>
      </c>
      <c r="AJ15" s="2">
        <v>49682</v>
      </c>
      <c r="AK15" s="2">
        <v>50047</v>
      </c>
      <c r="AL15" s="2">
        <v>50412</v>
      </c>
      <c r="AM15" s="2">
        <v>50777</v>
      </c>
    </row>
    <row r="16" spans="1:56">
      <c r="B16" t="str">
        <f>_xlfn.XLOOKUP(TabelaAtivos[[#This Row],[Ambiente]],TabelaAmbientes[Ambiente],TabelaAmbientes[Cod_ambiente],"",0,1)</f>
        <v>EXT</v>
      </c>
      <c r="C16" t="s">
        <v>223</v>
      </c>
      <c r="D16" t="str">
        <f>_xlfn.XLOOKUP(TabelaAtivos[[#This Row],[Ambiente]],TabelaAmbientes[Ambiente],TabelaAmbientes[Zona],"",0,1)</f>
        <v>publica</v>
      </c>
      <c r="E16" t="s">
        <v>35</v>
      </c>
      <c r="G16" t="s">
        <v>222</v>
      </c>
      <c r="J16">
        <v>1</v>
      </c>
      <c r="L16">
        <v>60</v>
      </c>
      <c r="M16" s="2">
        <v>45667</v>
      </c>
      <c r="N16" s="2">
        <f t="shared" si="0"/>
        <v>47493</v>
      </c>
      <c r="O16">
        <f t="shared" si="1"/>
        <v>2030</v>
      </c>
      <c r="P16" t="str">
        <f t="shared" si="2"/>
        <v>jan</v>
      </c>
      <c r="Q16" s="3">
        <v>50000</v>
      </c>
      <c r="R16" s="3">
        <f t="shared" si="3"/>
        <v>50000</v>
      </c>
      <c r="U16" t="str">
        <f t="shared" ca="1" si="4"/>
        <v>Programado</v>
      </c>
      <c r="X16" s="2">
        <v>51482</v>
      </c>
      <c r="Y16" s="2" cm="1">
        <f t="array" ref="Y16:AA16">_xlfn.SEQUENCE(1,ROUNDDOWN((TabelaAtivos[[#This Row],[ano encerramento]]-TabelaAtivos[[#This Row],[Última_manut]])/(TabelaAtivos[[#This Row],[Próxima_manut]]-TabelaAtivos[[#This Row],[Última_manut]]),0),TabelaAtivos[[#This Row],[Última_manut]],TabelaAtivos[[#This Row],[Próxima_manut]]-TabelaAtivos[[#This Row],[Última_manut]])</f>
        <v>45667</v>
      </c>
      <c r="Z16" s="2">
        <v>47493</v>
      </c>
      <c r="AA16" s="2">
        <v>49319</v>
      </c>
    </row>
    <row r="17" spans="2:26">
      <c r="B17" t="str">
        <f>_xlfn.XLOOKUP(TabelaAtivos[[#This Row],[Ambiente]],TabelaAmbientes[Ambiente],TabelaAmbientes[Cod_ambiente],"",0,1)</f>
        <v/>
      </c>
      <c r="M17" s="2"/>
      <c r="N17" s="2"/>
      <c r="O17" t="str">
        <f t="shared" si="1"/>
        <v/>
      </c>
      <c r="P17" t="str">
        <f t="shared" si="2"/>
        <v/>
      </c>
      <c r="Q17" s="3"/>
      <c r="R17" s="3" t="str">
        <f t="shared" si="3"/>
        <v/>
      </c>
      <c r="U17" t="str">
        <f t="shared" ca="1" si="4"/>
        <v>Sem data</v>
      </c>
      <c r="X17" s="2">
        <v>51482</v>
      </c>
    </row>
    <row r="18" spans="2:26">
      <c r="B18" t="str">
        <f>_xlfn.XLOOKUP(TabelaAtivos[[#This Row],[Ambiente]],TabelaAmbientes[Ambiente],TabelaAmbientes[Cod_ambiente],"",0,1)</f>
        <v/>
      </c>
      <c r="D18" t="str">
        <f>_xlfn.XLOOKUP(TabelaAtivos[[#This Row],[Ambiente]],TabelaAmbientes[Ambiente],TabelaAmbientes[Zona],"",0,1)</f>
        <v/>
      </c>
      <c r="M18" s="2"/>
      <c r="N18" s="2" t="str">
        <f t="shared" si="0"/>
        <v/>
      </c>
      <c r="O18" t="str">
        <f t="shared" si="1"/>
        <v/>
      </c>
      <c r="P18" t="str">
        <f t="shared" si="2"/>
        <v/>
      </c>
      <c r="Q18" s="3"/>
      <c r="R18" s="3" t="str">
        <f t="shared" si="3"/>
        <v/>
      </c>
      <c r="U18" t="str">
        <f t="shared" ca="1" si="4"/>
        <v>Sem data</v>
      </c>
      <c r="X18" s="2">
        <v>51482</v>
      </c>
      <c r="Y18" s="2">
        <v>13</v>
      </c>
      <c r="Z18" s="2">
        <v>17</v>
      </c>
    </row>
    <row r="19" spans="2:26">
      <c r="B19" t="str">
        <f>_xlfn.XLOOKUP(TabelaAtivos[[#This Row],[Ambiente]],TabelaAmbientes[Ambiente],TabelaAmbientes[Cod_ambiente],"",0,1)</f>
        <v/>
      </c>
      <c r="D19" t="str">
        <f>_xlfn.XLOOKUP(TabelaAtivos[[#This Row],[Ambiente]],TabelaAmbientes[Ambiente],TabelaAmbientes[Zona],"",0,1)</f>
        <v/>
      </c>
      <c r="M19" s="2"/>
      <c r="N19" s="2" t="str">
        <f t="shared" si="0"/>
        <v/>
      </c>
      <c r="O19" t="str">
        <f t="shared" si="1"/>
        <v/>
      </c>
      <c r="P19" t="str">
        <f t="shared" si="2"/>
        <v/>
      </c>
      <c r="Q19" s="3"/>
      <c r="R19" s="3" t="str">
        <f t="shared" si="3"/>
        <v/>
      </c>
      <c r="U19" t="str">
        <f t="shared" ca="1" si="4"/>
        <v>Sem data</v>
      </c>
      <c r="X19" s="2">
        <v>51482</v>
      </c>
    </row>
    <row r="20" spans="2:26">
      <c r="B20" t="str">
        <f>_xlfn.XLOOKUP(TabelaAtivos[[#This Row],[Ambiente]],TabelaAmbientes[Ambiente],TabelaAmbientes[Cod_ambiente],"",0,1)</f>
        <v>DEP</v>
      </c>
      <c r="C20" t="s">
        <v>40</v>
      </c>
      <c r="D20" t="str">
        <f>_xlfn.XLOOKUP(TabelaAtivos[[#This Row],[Ambiente]],TabelaAmbientes[Ambiente],TabelaAmbientes[Zona],"",0,1)</f>
        <v>Serviço</v>
      </c>
      <c r="M20" s="2"/>
      <c r="N20" s="2" t="str">
        <f t="shared" si="0"/>
        <v/>
      </c>
      <c r="O20" t="str">
        <f t="shared" si="1"/>
        <v/>
      </c>
      <c r="P20" t="str">
        <f t="shared" si="2"/>
        <v/>
      </c>
      <c r="Q20" s="3"/>
      <c r="R20" s="3" t="str">
        <f t="shared" si="3"/>
        <v/>
      </c>
      <c r="U20" t="str">
        <f t="shared" ca="1" si="4"/>
        <v>Sem data</v>
      </c>
      <c r="X20" s="2">
        <v>51482</v>
      </c>
    </row>
    <row r="21" spans="2:26">
      <c r="B21" t="str">
        <f>_xlfn.XLOOKUP(TabelaAtivos[[#This Row],[Ambiente]],TabelaAmbientes[Ambiente],TabelaAmbientes[Cod_ambiente],"",0,1)</f>
        <v/>
      </c>
      <c r="D21" t="str">
        <f>_xlfn.XLOOKUP(TabelaAtivos[[#This Row],[Ambiente]],TabelaAmbientes[Ambiente],TabelaAmbientes[Zona],"",0,1)</f>
        <v/>
      </c>
      <c r="M21" s="2"/>
      <c r="N21" s="2" t="str">
        <f t="shared" si="0"/>
        <v/>
      </c>
      <c r="O21" t="str">
        <f t="shared" si="1"/>
        <v/>
      </c>
      <c r="P21" t="str">
        <f t="shared" si="2"/>
        <v/>
      </c>
      <c r="Q21" s="3"/>
      <c r="R21" s="3" t="str">
        <f t="shared" si="3"/>
        <v/>
      </c>
      <c r="U21" t="str">
        <f t="shared" ca="1" si="4"/>
        <v>Sem data</v>
      </c>
      <c r="X21" s="2">
        <v>51482</v>
      </c>
    </row>
    <row r="22" spans="2:26">
      <c r="B22" t="str">
        <f>_xlfn.XLOOKUP(TabelaAtivos[[#This Row],[Ambiente]],TabelaAmbientes[Ambiente],TabelaAmbientes[Cod_ambiente],"",0,1)</f>
        <v/>
      </c>
      <c r="D22" t="str">
        <f>_xlfn.XLOOKUP(TabelaAtivos[[#This Row],[Ambiente]],TabelaAmbientes[Ambiente],TabelaAmbientes[Zona],"",0,1)</f>
        <v/>
      </c>
      <c r="M22" s="2"/>
      <c r="N22" s="2" t="str">
        <f t="shared" si="0"/>
        <v/>
      </c>
      <c r="O22" t="str">
        <f t="shared" si="1"/>
        <v/>
      </c>
      <c r="P22" t="str">
        <f t="shared" si="2"/>
        <v/>
      </c>
      <c r="Q22" s="3"/>
      <c r="R22" s="3" t="str">
        <f t="shared" si="3"/>
        <v/>
      </c>
      <c r="U22" t="str">
        <f t="shared" ca="1" si="4"/>
        <v>Sem data</v>
      </c>
      <c r="X22" s="2">
        <v>51482</v>
      </c>
    </row>
    <row r="23" spans="2:26">
      <c r="B23" t="str">
        <f>_xlfn.XLOOKUP(TabelaAtivos[[#This Row],[Ambiente]],TabelaAmbientes[Ambiente],TabelaAmbientes[Cod_ambiente],"",0,1)</f>
        <v/>
      </c>
      <c r="D23" t="str">
        <f>_xlfn.XLOOKUP(TabelaAtivos[[#This Row],[Ambiente]],TabelaAmbientes[Ambiente],TabelaAmbientes[Zona],"",0,1)</f>
        <v/>
      </c>
      <c r="M23" s="2"/>
      <c r="N23" s="2" t="str">
        <f t="shared" si="0"/>
        <v/>
      </c>
      <c r="O23" t="str">
        <f t="shared" si="1"/>
        <v/>
      </c>
      <c r="P23" t="str">
        <f t="shared" si="2"/>
        <v/>
      </c>
      <c r="Q23" s="3"/>
      <c r="R23" s="3" t="str">
        <f t="shared" si="3"/>
        <v/>
      </c>
      <c r="U23" t="str">
        <f t="shared" ca="1" si="4"/>
        <v>Sem data</v>
      </c>
      <c r="X23" s="2">
        <v>51482</v>
      </c>
    </row>
    <row r="24" spans="2:26">
      <c r="B24" t="str">
        <f>_xlfn.XLOOKUP(TabelaAtivos[[#This Row],[Ambiente]],TabelaAmbientes[Ambiente],TabelaAmbientes[Cod_ambiente],"",0,1)</f>
        <v/>
      </c>
      <c r="D24" t="str">
        <f>_xlfn.XLOOKUP(TabelaAtivos[[#This Row],[Ambiente]],TabelaAmbientes[Ambiente],TabelaAmbientes[Zona],"",0,1)</f>
        <v/>
      </c>
      <c r="M24" s="2"/>
      <c r="N24" s="2" t="str">
        <f t="shared" si="0"/>
        <v/>
      </c>
      <c r="O24" t="str">
        <f t="shared" si="1"/>
        <v/>
      </c>
      <c r="P24" t="str">
        <f t="shared" si="2"/>
        <v/>
      </c>
      <c r="Q24" s="3"/>
      <c r="R24" s="3" t="str">
        <f t="shared" si="3"/>
        <v/>
      </c>
      <c r="U24" t="str">
        <f t="shared" ca="1" si="4"/>
        <v>Sem data</v>
      </c>
      <c r="X24" s="2">
        <v>51482</v>
      </c>
    </row>
    <row r="25" spans="2:26">
      <c r="B25" t="str">
        <f>_xlfn.XLOOKUP(TabelaAtivos[[#This Row],[Ambiente]],TabelaAmbientes[Ambiente],TabelaAmbientes[Cod_ambiente],"",0,1)</f>
        <v/>
      </c>
      <c r="D25" t="str">
        <f>_xlfn.XLOOKUP(TabelaAtivos[[#This Row],[Ambiente]],TabelaAmbientes[Ambiente],TabelaAmbientes[Zona],"",0,1)</f>
        <v/>
      </c>
      <c r="M25" s="2"/>
      <c r="N25" s="2" t="str">
        <f t="shared" si="0"/>
        <v/>
      </c>
      <c r="O25" t="str">
        <f t="shared" si="1"/>
        <v/>
      </c>
      <c r="P25" t="str">
        <f t="shared" si="2"/>
        <v/>
      </c>
      <c r="Q25" s="3"/>
      <c r="R25" s="3" t="str">
        <f t="shared" si="3"/>
        <v/>
      </c>
      <c r="U25" t="str">
        <f t="shared" ca="1" si="4"/>
        <v>Sem data</v>
      </c>
      <c r="X25" s="2">
        <v>51482</v>
      </c>
    </row>
    <row r="26" spans="2:26">
      <c r="B26" t="str">
        <f>_xlfn.XLOOKUP(TabelaAtivos[[#This Row],[Ambiente]],TabelaAmbientes[Ambiente],TabelaAmbientes[Cod_ambiente],"",0,1)</f>
        <v/>
      </c>
      <c r="D26" t="str">
        <f>_xlfn.XLOOKUP(TabelaAtivos[[#This Row],[Ambiente]],TabelaAmbientes[Ambiente],TabelaAmbientes[Zona],"",0,1)</f>
        <v/>
      </c>
      <c r="M26" s="2"/>
      <c r="N26" s="2" t="str">
        <f t="shared" si="0"/>
        <v/>
      </c>
      <c r="O26" t="str">
        <f t="shared" si="1"/>
        <v/>
      </c>
      <c r="P26" t="str">
        <f t="shared" si="2"/>
        <v/>
      </c>
      <c r="Q26" s="3"/>
      <c r="R26" s="3" t="str">
        <f t="shared" si="3"/>
        <v/>
      </c>
      <c r="U26" t="str">
        <f t="shared" ca="1" si="4"/>
        <v>Sem data</v>
      </c>
      <c r="X26" s="2">
        <v>51482</v>
      </c>
    </row>
    <row r="27" spans="2:26">
      <c r="B27" t="str">
        <f>_xlfn.XLOOKUP(TabelaAtivos[[#This Row],[Ambiente]],TabelaAmbientes[Ambiente],TabelaAmbientes[Cod_ambiente],"",0,1)</f>
        <v/>
      </c>
      <c r="D27" t="str">
        <f>_xlfn.XLOOKUP(TabelaAtivos[[#This Row],[Ambiente]],TabelaAmbientes[Ambiente],TabelaAmbientes[Zona],"",0,1)</f>
        <v/>
      </c>
      <c r="M27" s="2"/>
      <c r="N27" s="2" t="str">
        <f t="shared" si="0"/>
        <v/>
      </c>
      <c r="O27" t="str">
        <f t="shared" si="1"/>
        <v/>
      </c>
      <c r="P27" t="str">
        <f t="shared" si="2"/>
        <v/>
      </c>
      <c r="Q27" s="3"/>
      <c r="R27" s="3" t="str">
        <f t="shared" si="3"/>
        <v/>
      </c>
      <c r="U27" t="str">
        <f t="shared" ca="1" si="4"/>
        <v>Sem data</v>
      </c>
      <c r="X27" s="2">
        <v>51482</v>
      </c>
    </row>
    <row r="28" spans="2:26">
      <c r="B28" t="str">
        <f>_xlfn.XLOOKUP(TabelaAtivos[[#This Row],[Ambiente]],TabelaAmbientes[Ambiente],TabelaAmbientes[Cod_ambiente],"",0,1)</f>
        <v/>
      </c>
      <c r="D28" t="str">
        <f>_xlfn.XLOOKUP(TabelaAtivos[[#This Row],[Ambiente]],TabelaAmbientes[Ambiente],TabelaAmbientes[Zona],"",0,1)</f>
        <v/>
      </c>
      <c r="M28" s="2"/>
      <c r="N28" s="2" t="str">
        <f t="shared" si="0"/>
        <v/>
      </c>
      <c r="O28" t="str">
        <f t="shared" si="1"/>
        <v/>
      </c>
      <c r="P28" t="str">
        <f t="shared" si="2"/>
        <v/>
      </c>
      <c r="Q28" s="3"/>
      <c r="R28" s="3" t="str">
        <f t="shared" si="3"/>
        <v/>
      </c>
      <c r="U28" t="str">
        <f t="shared" ca="1" si="4"/>
        <v>Sem data</v>
      </c>
      <c r="X28" s="2">
        <v>51482</v>
      </c>
    </row>
    <row r="29" spans="2:26">
      <c r="B29" t="str">
        <f>_xlfn.XLOOKUP(TabelaAtivos[[#This Row],[Ambiente]],TabelaAmbientes[Ambiente],TabelaAmbientes[Cod_ambiente],"",0,1)</f>
        <v/>
      </c>
      <c r="D29" t="str">
        <f>_xlfn.XLOOKUP(TabelaAtivos[[#This Row],[Ambiente]],TabelaAmbientes[Ambiente],TabelaAmbientes[Zona],"",0,1)</f>
        <v/>
      </c>
      <c r="M29" s="2"/>
      <c r="N29" s="2" t="str">
        <f t="shared" si="0"/>
        <v/>
      </c>
      <c r="O29" t="str">
        <f t="shared" si="1"/>
        <v/>
      </c>
      <c r="P29" t="str">
        <f t="shared" si="2"/>
        <v/>
      </c>
      <c r="Q29" s="3"/>
      <c r="R29" s="3" t="str">
        <f t="shared" si="3"/>
        <v/>
      </c>
      <c r="U29" t="str">
        <f t="shared" ca="1" si="4"/>
        <v>Sem data</v>
      </c>
      <c r="X29" s="2">
        <v>51482</v>
      </c>
    </row>
    <row r="30" spans="2:26">
      <c r="B30" t="str">
        <f>_xlfn.XLOOKUP(TabelaAtivos[[#This Row],[Ambiente]],TabelaAmbientes[Ambiente],TabelaAmbientes[Cod_ambiente],"",0,1)</f>
        <v/>
      </c>
      <c r="D30" t="str">
        <f>_xlfn.XLOOKUP(TabelaAtivos[[#This Row],[Ambiente]],TabelaAmbientes[Ambiente],TabelaAmbientes[Zona],"",0,1)</f>
        <v/>
      </c>
      <c r="M30" s="2"/>
      <c r="N30" s="2" t="str">
        <f t="shared" si="0"/>
        <v/>
      </c>
      <c r="O30" t="str">
        <f t="shared" si="1"/>
        <v/>
      </c>
      <c r="P30" t="str">
        <f t="shared" si="2"/>
        <v/>
      </c>
      <c r="Q30" s="3"/>
      <c r="R30" s="3" t="str">
        <f t="shared" si="3"/>
        <v/>
      </c>
      <c r="U30" t="str">
        <f t="shared" ca="1" si="4"/>
        <v>Sem data</v>
      </c>
      <c r="X30" s="2">
        <v>51482</v>
      </c>
    </row>
    <row r="31" spans="2:26">
      <c r="B31" t="str">
        <f>_xlfn.XLOOKUP(TabelaAtivos[[#This Row],[Ambiente]],TabelaAmbientes[Ambiente],TabelaAmbientes[Cod_ambiente],"",0,1)</f>
        <v/>
      </c>
      <c r="D31" t="str">
        <f>_xlfn.XLOOKUP(TabelaAtivos[[#This Row],[Ambiente]],TabelaAmbientes[Ambiente],TabelaAmbientes[Zona],"",0,1)</f>
        <v/>
      </c>
      <c r="M31" s="2"/>
      <c r="N31" s="2" t="str">
        <f t="shared" si="0"/>
        <v/>
      </c>
      <c r="O31" t="str">
        <f t="shared" si="1"/>
        <v/>
      </c>
      <c r="P31" t="str">
        <f t="shared" si="2"/>
        <v/>
      </c>
      <c r="Q31" s="3"/>
      <c r="R31" s="3" t="str">
        <f t="shared" si="3"/>
        <v/>
      </c>
      <c r="U31" t="str">
        <f t="shared" ca="1" si="4"/>
        <v>Sem data</v>
      </c>
      <c r="X31" s="2">
        <v>51482</v>
      </c>
    </row>
    <row r="32" spans="2:26">
      <c r="B32" t="str">
        <f>_xlfn.XLOOKUP(TabelaAtivos[[#This Row],[Ambiente]],TabelaAmbientes[Ambiente],TabelaAmbientes[Cod_ambiente],"",0,1)</f>
        <v/>
      </c>
      <c r="D32" t="str">
        <f>_xlfn.XLOOKUP(TabelaAtivos[[#This Row],[Ambiente]],TabelaAmbientes[Ambiente],TabelaAmbientes[Zona],"",0,1)</f>
        <v/>
      </c>
      <c r="M32" s="2"/>
      <c r="N32" s="2" t="str">
        <f t="shared" si="0"/>
        <v/>
      </c>
      <c r="O32" t="str">
        <f t="shared" si="1"/>
        <v/>
      </c>
      <c r="P32" t="str">
        <f t="shared" si="2"/>
        <v/>
      </c>
      <c r="Q32" s="3"/>
      <c r="R32" s="3" t="str">
        <f t="shared" si="3"/>
        <v/>
      </c>
      <c r="U32" t="str">
        <f t="shared" ca="1" si="4"/>
        <v>Sem data</v>
      </c>
      <c r="X32" s="2">
        <v>51482</v>
      </c>
    </row>
    <row r="33" spans="2:24">
      <c r="B33" t="str">
        <f>_xlfn.XLOOKUP(TabelaAtivos[[#This Row],[Ambiente]],TabelaAmbientes[Ambiente],TabelaAmbientes[Cod_ambiente],"",0,1)</f>
        <v/>
      </c>
      <c r="D33" t="str">
        <f>_xlfn.XLOOKUP(TabelaAtivos[[#This Row],[Ambiente]],TabelaAmbientes[Ambiente],TabelaAmbientes[Zona],"",0,1)</f>
        <v/>
      </c>
      <c r="M33" s="2"/>
      <c r="N33" s="2" t="str">
        <f t="shared" si="0"/>
        <v/>
      </c>
      <c r="O33" t="str">
        <f t="shared" si="1"/>
        <v/>
      </c>
      <c r="P33" t="str">
        <f t="shared" si="2"/>
        <v/>
      </c>
      <c r="Q33" s="3"/>
      <c r="R33" s="3" t="str">
        <f t="shared" si="3"/>
        <v/>
      </c>
      <c r="U33" t="str">
        <f t="shared" ca="1" si="4"/>
        <v>Sem data</v>
      </c>
      <c r="X33" s="2">
        <v>51482</v>
      </c>
    </row>
    <row r="34" spans="2:24">
      <c r="B34" t="str">
        <f>_xlfn.XLOOKUP(TabelaAtivos[[#This Row],[Ambiente]],TabelaAmbientes[Ambiente],TabelaAmbientes[Cod_ambiente],"",0,1)</f>
        <v/>
      </c>
      <c r="D34" t="str">
        <f>_xlfn.XLOOKUP(TabelaAtivos[[#This Row],[Ambiente]],TabelaAmbientes[Ambiente],TabelaAmbientes[Zona],"",0,1)</f>
        <v/>
      </c>
      <c r="M34" s="2"/>
      <c r="N34" s="2" t="str">
        <f t="shared" ref="N34:N65" si="5">IF(M34="","",EDATE(M34,L34))</f>
        <v/>
      </c>
      <c r="O34" t="str">
        <f t="shared" ref="O34:O65" si="6">IF(N34="","",YEAR(N34))</f>
        <v/>
      </c>
      <c r="P34" t="str">
        <f t="shared" ref="P34:P65" si="7">IF(N34="","",TEXT(N34,"mmm"))</f>
        <v/>
      </c>
      <c r="Q34" s="3"/>
      <c r="R34" s="3" t="str">
        <f t="shared" ref="R34:R65" si="8">IF(OR(J34="",Q34=""),"",J34*Q34)</f>
        <v/>
      </c>
      <c r="U34" t="str">
        <f t="shared" ref="U34:U65" ca="1" si="9">IF(N34="","Sem data",IF(N34&lt;TODAY(),"Vencido",IF(N34&lt;=TODAY()+30,"Próx. 30 dias",IF(N34&lt;=TODAY()+90,"Próx. 90 dias","Programado"))))</f>
        <v>Sem data</v>
      </c>
      <c r="X34" s="2">
        <v>51482</v>
      </c>
    </row>
    <row r="35" spans="2:24">
      <c r="B35" t="str">
        <f>_xlfn.XLOOKUP(TabelaAtivos[[#This Row],[Ambiente]],TabelaAmbientes[Ambiente],TabelaAmbientes[Cod_ambiente],"",0,1)</f>
        <v/>
      </c>
      <c r="D35" t="str">
        <f>_xlfn.XLOOKUP(TabelaAtivos[[#This Row],[Ambiente]],TabelaAmbientes[Ambiente],TabelaAmbientes[Zona],"",0,1)</f>
        <v/>
      </c>
      <c r="M35" s="2"/>
      <c r="N35" s="2" t="str">
        <f t="shared" si="5"/>
        <v/>
      </c>
      <c r="O35" t="str">
        <f t="shared" si="6"/>
        <v/>
      </c>
      <c r="P35" t="str">
        <f t="shared" si="7"/>
        <v/>
      </c>
      <c r="Q35" s="3"/>
      <c r="R35" s="3" t="str">
        <f t="shared" si="8"/>
        <v/>
      </c>
      <c r="U35" t="str">
        <f t="shared" ca="1" si="9"/>
        <v>Sem data</v>
      </c>
      <c r="X35" s="2">
        <v>51482</v>
      </c>
    </row>
    <row r="36" spans="2:24">
      <c r="B36" t="str">
        <f>_xlfn.XLOOKUP(TabelaAtivos[[#This Row],[Ambiente]],TabelaAmbientes[Ambiente],TabelaAmbientes[Cod_ambiente],"",0,1)</f>
        <v/>
      </c>
      <c r="D36" t="str">
        <f>_xlfn.XLOOKUP(TabelaAtivos[[#This Row],[Ambiente]],TabelaAmbientes[Ambiente],TabelaAmbientes[Zona],"",0,1)</f>
        <v/>
      </c>
      <c r="M36" s="2"/>
      <c r="N36" s="2" t="str">
        <f t="shared" si="5"/>
        <v/>
      </c>
      <c r="O36" t="str">
        <f t="shared" si="6"/>
        <v/>
      </c>
      <c r="P36" t="str">
        <f t="shared" si="7"/>
        <v/>
      </c>
      <c r="Q36" s="3"/>
      <c r="R36" s="3" t="str">
        <f t="shared" si="8"/>
        <v/>
      </c>
      <c r="U36" t="str">
        <f t="shared" ca="1" si="9"/>
        <v>Sem data</v>
      </c>
      <c r="X36" s="2">
        <v>51482</v>
      </c>
    </row>
    <row r="37" spans="2:24">
      <c r="B37" t="str">
        <f>_xlfn.XLOOKUP(TabelaAtivos[[#This Row],[Ambiente]],TabelaAmbientes[Ambiente],TabelaAmbientes[Cod_ambiente],"",0,1)</f>
        <v/>
      </c>
      <c r="D37" t="str">
        <f>_xlfn.XLOOKUP(TabelaAtivos[[#This Row],[Ambiente]],TabelaAmbientes[Ambiente],TabelaAmbientes[Zona],"",0,1)</f>
        <v/>
      </c>
      <c r="M37" s="2"/>
      <c r="N37" s="2" t="str">
        <f t="shared" si="5"/>
        <v/>
      </c>
      <c r="O37" t="str">
        <f t="shared" si="6"/>
        <v/>
      </c>
      <c r="P37" t="str">
        <f t="shared" si="7"/>
        <v/>
      </c>
      <c r="Q37" s="3"/>
      <c r="R37" s="3" t="str">
        <f t="shared" si="8"/>
        <v/>
      </c>
      <c r="U37" t="str">
        <f t="shared" ca="1" si="9"/>
        <v>Sem data</v>
      </c>
      <c r="X37" s="2">
        <v>51482</v>
      </c>
    </row>
    <row r="38" spans="2:24">
      <c r="B38" t="str">
        <f>_xlfn.XLOOKUP(TabelaAtivos[[#This Row],[Ambiente]],TabelaAmbientes[Ambiente],TabelaAmbientes[Cod_ambiente],"",0,1)</f>
        <v/>
      </c>
      <c r="D38" t="str">
        <f>_xlfn.XLOOKUP(TabelaAtivos[[#This Row],[Ambiente]],TabelaAmbientes[Ambiente],TabelaAmbientes[Zona],"",0,1)</f>
        <v/>
      </c>
      <c r="M38" s="2"/>
      <c r="N38" s="2" t="str">
        <f t="shared" si="5"/>
        <v/>
      </c>
      <c r="O38" t="str">
        <f t="shared" si="6"/>
        <v/>
      </c>
      <c r="P38" t="str">
        <f t="shared" si="7"/>
        <v/>
      </c>
      <c r="Q38" s="3"/>
      <c r="R38" s="3" t="str">
        <f t="shared" si="8"/>
        <v/>
      </c>
      <c r="U38" t="str">
        <f t="shared" ca="1" si="9"/>
        <v>Sem data</v>
      </c>
      <c r="X38" s="2">
        <v>51482</v>
      </c>
    </row>
    <row r="39" spans="2:24">
      <c r="B39" t="str">
        <f>_xlfn.XLOOKUP(TabelaAtivos[[#This Row],[Ambiente]],TabelaAmbientes[Ambiente],TabelaAmbientes[Cod_ambiente],"",0,1)</f>
        <v/>
      </c>
      <c r="D39" t="str">
        <f>_xlfn.XLOOKUP(TabelaAtivos[[#This Row],[Ambiente]],TabelaAmbientes[Ambiente],TabelaAmbientes[Zona],"",0,1)</f>
        <v/>
      </c>
      <c r="M39" s="2"/>
      <c r="N39" s="2" t="str">
        <f t="shared" si="5"/>
        <v/>
      </c>
      <c r="O39" t="str">
        <f t="shared" si="6"/>
        <v/>
      </c>
      <c r="P39" t="str">
        <f t="shared" si="7"/>
        <v/>
      </c>
      <c r="Q39" s="3"/>
      <c r="R39" s="3" t="str">
        <f t="shared" si="8"/>
        <v/>
      </c>
      <c r="U39" t="str">
        <f t="shared" ca="1" si="9"/>
        <v>Sem data</v>
      </c>
      <c r="X39" s="2">
        <v>51482</v>
      </c>
    </row>
    <row r="40" spans="2:24">
      <c r="B40" t="str">
        <f>_xlfn.XLOOKUP(TabelaAtivos[[#This Row],[Ambiente]],TabelaAmbientes[Ambiente],TabelaAmbientes[Cod_ambiente],"",0,1)</f>
        <v/>
      </c>
      <c r="D40" t="str">
        <f>_xlfn.XLOOKUP(TabelaAtivos[[#This Row],[Ambiente]],TabelaAmbientes[Ambiente],TabelaAmbientes[Zona],"",0,1)</f>
        <v/>
      </c>
      <c r="M40" s="2"/>
      <c r="N40" s="2" t="str">
        <f t="shared" si="5"/>
        <v/>
      </c>
      <c r="O40" t="str">
        <f t="shared" si="6"/>
        <v/>
      </c>
      <c r="P40" t="str">
        <f t="shared" si="7"/>
        <v/>
      </c>
      <c r="Q40" s="3"/>
      <c r="R40" s="3" t="str">
        <f t="shared" si="8"/>
        <v/>
      </c>
      <c r="U40" t="str">
        <f t="shared" ca="1" si="9"/>
        <v>Sem data</v>
      </c>
      <c r="X40" s="2">
        <v>51482</v>
      </c>
    </row>
    <row r="41" spans="2:24">
      <c r="B41" t="str">
        <f>_xlfn.XLOOKUP(TabelaAtivos[[#This Row],[Ambiente]],TabelaAmbientes[Ambiente],TabelaAmbientes[Cod_ambiente],"",0,1)</f>
        <v/>
      </c>
      <c r="D41" t="str">
        <f>_xlfn.XLOOKUP(TabelaAtivos[[#This Row],[Ambiente]],TabelaAmbientes[Ambiente],TabelaAmbientes[Zona],"",0,1)</f>
        <v/>
      </c>
      <c r="M41" s="2"/>
      <c r="N41" s="2" t="str">
        <f t="shared" si="5"/>
        <v/>
      </c>
      <c r="O41" t="str">
        <f t="shared" si="6"/>
        <v/>
      </c>
      <c r="P41" t="str">
        <f t="shared" si="7"/>
        <v/>
      </c>
      <c r="Q41" s="3"/>
      <c r="R41" s="3" t="str">
        <f t="shared" si="8"/>
        <v/>
      </c>
      <c r="U41" t="str">
        <f t="shared" ca="1" si="9"/>
        <v>Sem data</v>
      </c>
      <c r="X41" s="2">
        <v>51482</v>
      </c>
    </row>
    <row r="42" spans="2:24">
      <c r="B42" t="str">
        <f>_xlfn.XLOOKUP(TabelaAtivos[[#This Row],[Ambiente]],TabelaAmbientes[Ambiente],TabelaAmbientes[Cod_ambiente],"",0,1)</f>
        <v/>
      </c>
      <c r="D42" t="str">
        <f>_xlfn.XLOOKUP(TabelaAtivos[[#This Row],[Ambiente]],TabelaAmbientes[Ambiente],TabelaAmbientes[Zona],"",0,1)</f>
        <v/>
      </c>
      <c r="M42" s="2"/>
      <c r="N42" s="2" t="str">
        <f t="shared" si="5"/>
        <v/>
      </c>
      <c r="O42" t="str">
        <f t="shared" si="6"/>
        <v/>
      </c>
      <c r="P42" t="str">
        <f t="shared" si="7"/>
        <v/>
      </c>
      <c r="Q42" s="3"/>
      <c r="R42" s="3" t="str">
        <f t="shared" si="8"/>
        <v/>
      </c>
      <c r="U42" t="str">
        <f t="shared" ca="1" si="9"/>
        <v>Sem data</v>
      </c>
      <c r="X42" s="2">
        <v>51482</v>
      </c>
    </row>
    <row r="43" spans="2:24">
      <c r="B43" t="str">
        <f>_xlfn.XLOOKUP(TabelaAtivos[[#This Row],[Ambiente]],TabelaAmbientes[Ambiente],TabelaAmbientes[Cod_ambiente],"",0,1)</f>
        <v/>
      </c>
      <c r="D43" t="str">
        <f>_xlfn.XLOOKUP(TabelaAtivos[[#This Row],[Ambiente]],TabelaAmbientes[Ambiente],TabelaAmbientes[Zona],"",0,1)</f>
        <v/>
      </c>
      <c r="M43" s="2"/>
      <c r="N43" s="2" t="str">
        <f t="shared" si="5"/>
        <v/>
      </c>
      <c r="O43" t="str">
        <f t="shared" si="6"/>
        <v/>
      </c>
      <c r="P43" t="str">
        <f t="shared" si="7"/>
        <v/>
      </c>
      <c r="Q43" s="3"/>
      <c r="R43" s="3" t="str">
        <f t="shared" si="8"/>
        <v/>
      </c>
      <c r="U43" t="str">
        <f t="shared" ca="1" si="9"/>
        <v>Sem data</v>
      </c>
      <c r="X43" s="2">
        <v>51482</v>
      </c>
    </row>
    <row r="44" spans="2:24">
      <c r="B44" t="str">
        <f>_xlfn.XLOOKUP(TabelaAtivos[[#This Row],[Ambiente]],TabelaAmbientes[Ambiente],TabelaAmbientes[Cod_ambiente],"",0,1)</f>
        <v/>
      </c>
      <c r="D44" t="str">
        <f>_xlfn.XLOOKUP(TabelaAtivos[[#This Row],[Ambiente]],TabelaAmbientes[Ambiente],TabelaAmbientes[Zona],"",0,1)</f>
        <v/>
      </c>
      <c r="M44" s="2"/>
      <c r="N44" s="2" t="str">
        <f t="shared" si="5"/>
        <v/>
      </c>
      <c r="O44" t="str">
        <f t="shared" si="6"/>
        <v/>
      </c>
      <c r="P44" t="str">
        <f t="shared" si="7"/>
        <v/>
      </c>
      <c r="Q44" s="3"/>
      <c r="R44" s="3" t="str">
        <f t="shared" si="8"/>
        <v/>
      </c>
      <c r="U44" t="str">
        <f t="shared" ca="1" si="9"/>
        <v>Sem data</v>
      </c>
      <c r="X44" s="2">
        <v>51482</v>
      </c>
    </row>
    <row r="45" spans="2:24">
      <c r="B45" t="str">
        <f>_xlfn.XLOOKUP(TabelaAtivos[[#This Row],[Ambiente]],TabelaAmbientes[Ambiente],TabelaAmbientes[Cod_ambiente],"",0,1)</f>
        <v/>
      </c>
      <c r="D45" t="str">
        <f>_xlfn.XLOOKUP(TabelaAtivos[[#This Row],[Ambiente]],TabelaAmbientes[Ambiente],TabelaAmbientes[Zona],"",0,1)</f>
        <v/>
      </c>
      <c r="M45" s="2"/>
      <c r="N45" s="2" t="str">
        <f t="shared" si="5"/>
        <v/>
      </c>
      <c r="O45" t="str">
        <f t="shared" si="6"/>
        <v/>
      </c>
      <c r="P45" t="str">
        <f t="shared" si="7"/>
        <v/>
      </c>
      <c r="Q45" s="3"/>
      <c r="R45" s="3" t="str">
        <f t="shared" si="8"/>
        <v/>
      </c>
      <c r="U45" t="str">
        <f t="shared" ca="1" si="9"/>
        <v>Sem data</v>
      </c>
      <c r="X45" s="2">
        <v>51482</v>
      </c>
    </row>
    <row r="46" spans="2:24">
      <c r="B46" t="str">
        <f>_xlfn.XLOOKUP(TabelaAtivos[[#This Row],[Ambiente]],TabelaAmbientes[Ambiente],TabelaAmbientes[Cod_ambiente],"",0,1)</f>
        <v/>
      </c>
      <c r="D46" t="str">
        <f>_xlfn.XLOOKUP(TabelaAtivos[[#This Row],[Ambiente]],TabelaAmbientes[Ambiente],TabelaAmbientes[Zona],"",0,1)</f>
        <v/>
      </c>
      <c r="M46" s="2"/>
      <c r="N46" s="2" t="str">
        <f t="shared" si="5"/>
        <v/>
      </c>
      <c r="O46" t="str">
        <f t="shared" si="6"/>
        <v/>
      </c>
      <c r="P46" t="str">
        <f t="shared" si="7"/>
        <v/>
      </c>
      <c r="Q46" s="3"/>
      <c r="R46" s="3" t="str">
        <f t="shared" si="8"/>
        <v/>
      </c>
      <c r="U46" t="str">
        <f t="shared" ca="1" si="9"/>
        <v>Sem data</v>
      </c>
      <c r="X46" s="2">
        <v>51482</v>
      </c>
    </row>
    <row r="47" spans="2:24">
      <c r="B47" t="str">
        <f>_xlfn.XLOOKUP(TabelaAtivos[[#This Row],[Ambiente]],TabelaAmbientes[Ambiente],TabelaAmbientes[Cod_ambiente],"",0,1)</f>
        <v/>
      </c>
      <c r="D47" t="str">
        <f>_xlfn.XLOOKUP(TabelaAtivos[[#This Row],[Ambiente]],TabelaAmbientes[Ambiente],TabelaAmbientes[Zona],"",0,1)</f>
        <v/>
      </c>
      <c r="M47" s="2"/>
      <c r="N47" s="2" t="str">
        <f t="shared" si="5"/>
        <v/>
      </c>
      <c r="O47" t="str">
        <f t="shared" si="6"/>
        <v/>
      </c>
      <c r="P47" t="str">
        <f t="shared" si="7"/>
        <v/>
      </c>
      <c r="Q47" s="3"/>
      <c r="R47" s="3" t="str">
        <f t="shared" si="8"/>
        <v/>
      </c>
      <c r="U47" t="str">
        <f t="shared" ca="1" si="9"/>
        <v>Sem data</v>
      </c>
      <c r="X47" s="2">
        <v>51482</v>
      </c>
    </row>
    <row r="48" spans="2:24">
      <c r="B48" t="str">
        <f>_xlfn.XLOOKUP(TabelaAtivos[[#This Row],[Ambiente]],TabelaAmbientes[Ambiente],TabelaAmbientes[Cod_ambiente],"",0,1)</f>
        <v/>
      </c>
      <c r="D48" t="str">
        <f>_xlfn.XLOOKUP(TabelaAtivos[[#This Row],[Ambiente]],TabelaAmbientes[Ambiente],TabelaAmbientes[Zona],"",0,1)</f>
        <v/>
      </c>
      <c r="M48" s="2"/>
      <c r="N48" s="2" t="str">
        <f t="shared" si="5"/>
        <v/>
      </c>
      <c r="O48" t="str">
        <f t="shared" si="6"/>
        <v/>
      </c>
      <c r="P48" t="str">
        <f t="shared" si="7"/>
        <v/>
      </c>
      <c r="Q48" s="3"/>
      <c r="R48" s="3" t="str">
        <f t="shared" si="8"/>
        <v/>
      </c>
      <c r="U48" t="str">
        <f t="shared" ca="1" si="9"/>
        <v>Sem data</v>
      </c>
      <c r="X48" s="2">
        <v>51482</v>
      </c>
    </row>
    <row r="49" spans="2:24">
      <c r="B49" t="str">
        <f>_xlfn.XLOOKUP(TabelaAtivos[[#This Row],[Ambiente]],TabelaAmbientes[Ambiente],TabelaAmbientes[Cod_ambiente],"",0,1)</f>
        <v/>
      </c>
      <c r="D49" t="str">
        <f>_xlfn.XLOOKUP(TabelaAtivos[[#This Row],[Ambiente]],TabelaAmbientes[Ambiente],TabelaAmbientes[Zona],"",0,1)</f>
        <v/>
      </c>
      <c r="M49" s="2"/>
      <c r="N49" s="2" t="str">
        <f t="shared" si="5"/>
        <v/>
      </c>
      <c r="O49" t="str">
        <f t="shared" si="6"/>
        <v/>
      </c>
      <c r="P49" t="str">
        <f t="shared" si="7"/>
        <v/>
      </c>
      <c r="Q49" s="3"/>
      <c r="R49" s="3" t="str">
        <f t="shared" si="8"/>
        <v/>
      </c>
      <c r="U49" t="str">
        <f t="shared" ca="1" si="9"/>
        <v>Sem data</v>
      </c>
      <c r="X49" s="2">
        <v>51482</v>
      </c>
    </row>
    <row r="50" spans="2:24">
      <c r="B50" t="str">
        <f>_xlfn.XLOOKUP(TabelaAtivos[[#This Row],[Ambiente]],TabelaAmbientes[Ambiente],TabelaAmbientes[Cod_ambiente],"",0,1)</f>
        <v/>
      </c>
      <c r="D50" t="str">
        <f>_xlfn.XLOOKUP(TabelaAtivos[[#This Row],[Ambiente]],TabelaAmbientes[Ambiente],TabelaAmbientes[Zona],"",0,1)</f>
        <v/>
      </c>
      <c r="M50" s="2"/>
      <c r="N50" s="2" t="str">
        <f t="shared" si="5"/>
        <v/>
      </c>
      <c r="O50" t="str">
        <f t="shared" si="6"/>
        <v/>
      </c>
      <c r="P50" t="str">
        <f t="shared" si="7"/>
        <v/>
      </c>
      <c r="Q50" s="3"/>
      <c r="R50" s="3" t="str">
        <f t="shared" si="8"/>
        <v/>
      </c>
      <c r="U50" t="str">
        <f t="shared" ca="1" si="9"/>
        <v>Sem data</v>
      </c>
      <c r="X50" s="2">
        <v>51482</v>
      </c>
    </row>
    <row r="51" spans="2:24">
      <c r="B51" t="str">
        <f>_xlfn.XLOOKUP(TabelaAtivos[[#This Row],[Ambiente]],TabelaAmbientes[Ambiente],TabelaAmbientes[Cod_ambiente],"",0,1)</f>
        <v/>
      </c>
      <c r="D51" t="str">
        <f>_xlfn.XLOOKUP(TabelaAtivos[[#This Row],[Ambiente]],TabelaAmbientes[Ambiente],TabelaAmbientes[Zona],"",0,1)</f>
        <v/>
      </c>
      <c r="M51" s="2"/>
      <c r="N51" s="2" t="str">
        <f t="shared" si="5"/>
        <v/>
      </c>
      <c r="O51" t="str">
        <f t="shared" si="6"/>
        <v/>
      </c>
      <c r="P51" t="str">
        <f t="shared" si="7"/>
        <v/>
      </c>
      <c r="Q51" s="3"/>
      <c r="R51" s="3" t="str">
        <f t="shared" si="8"/>
        <v/>
      </c>
      <c r="U51" t="str">
        <f t="shared" ca="1" si="9"/>
        <v>Sem data</v>
      </c>
      <c r="X51" s="2">
        <v>51482</v>
      </c>
    </row>
    <row r="52" spans="2:24">
      <c r="B52" t="str">
        <f>_xlfn.XLOOKUP(TabelaAtivos[[#This Row],[Ambiente]],TabelaAmbientes[Ambiente],TabelaAmbientes[Cod_ambiente],"",0,1)</f>
        <v/>
      </c>
      <c r="D52" t="str">
        <f>_xlfn.XLOOKUP(TabelaAtivos[[#This Row],[Ambiente]],TabelaAmbientes[Ambiente],TabelaAmbientes[Zona],"",0,1)</f>
        <v/>
      </c>
      <c r="M52" s="2"/>
      <c r="N52" s="2" t="str">
        <f t="shared" si="5"/>
        <v/>
      </c>
      <c r="O52" t="str">
        <f t="shared" si="6"/>
        <v/>
      </c>
      <c r="P52" t="str">
        <f t="shared" si="7"/>
        <v/>
      </c>
      <c r="Q52" s="3"/>
      <c r="R52" s="3" t="str">
        <f t="shared" si="8"/>
        <v/>
      </c>
      <c r="U52" t="str">
        <f t="shared" ca="1" si="9"/>
        <v>Sem data</v>
      </c>
      <c r="X52" s="2">
        <v>51482</v>
      </c>
    </row>
    <row r="53" spans="2:24">
      <c r="B53" t="str">
        <f>_xlfn.XLOOKUP(TabelaAtivos[[#This Row],[Ambiente]],TabelaAmbientes[Ambiente],TabelaAmbientes[Cod_ambiente],"",0,1)</f>
        <v/>
      </c>
      <c r="D53" t="str">
        <f>_xlfn.XLOOKUP(TabelaAtivos[[#This Row],[Ambiente]],TabelaAmbientes[Ambiente],TabelaAmbientes[Zona],"",0,1)</f>
        <v/>
      </c>
      <c r="M53" s="2"/>
      <c r="N53" s="2" t="str">
        <f t="shared" si="5"/>
        <v/>
      </c>
      <c r="O53" t="str">
        <f t="shared" si="6"/>
        <v/>
      </c>
      <c r="P53" t="str">
        <f t="shared" si="7"/>
        <v/>
      </c>
      <c r="Q53" s="3"/>
      <c r="R53" s="3" t="str">
        <f t="shared" si="8"/>
        <v/>
      </c>
      <c r="U53" t="str">
        <f t="shared" ca="1" si="9"/>
        <v>Sem data</v>
      </c>
      <c r="X53" s="2">
        <v>51482</v>
      </c>
    </row>
    <row r="54" spans="2:24">
      <c r="B54" t="str">
        <f>_xlfn.XLOOKUP(TabelaAtivos[[#This Row],[Ambiente]],TabelaAmbientes[Ambiente],TabelaAmbientes[Cod_ambiente],"",0,1)</f>
        <v/>
      </c>
      <c r="D54" t="str">
        <f>_xlfn.XLOOKUP(TabelaAtivos[[#This Row],[Ambiente]],TabelaAmbientes[Ambiente],TabelaAmbientes[Zona],"",0,1)</f>
        <v/>
      </c>
      <c r="M54" s="2"/>
      <c r="N54" s="2" t="str">
        <f t="shared" si="5"/>
        <v/>
      </c>
      <c r="O54" t="str">
        <f t="shared" si="6"/>
        <v/>
      </c>
      <c r="P54" t="str">
        <f t="shared" si="7"/>
        <v/>
      </c>
      <c r="Q54" s="3"/>
      <c r="R54" s="3" t="str">
        <f t="shared" si="8"/>
        <v/>
      </c>
      <c r="U54" t="str">
        <f t="shared" ca="1" si="9"/>
        <v>Sem data</v>
      </c>
      <c r="X54" s="2">
        <v>51482</v>
      </c>
    </row>
    <row r="55" spans="2:24">
      <c r="B55" t="str">
        <f>_xlfn.XLOOKUP(TabelaAtivos[[#This Row],[Ambiente]],TabelaAmbientes[Ambiente],TabelaAmbientes[Cod_ambiente],"",0,1)</f>
        <v/>
      </c>
      <c r="D55" t="str">
        <f>_xlfn.XLOOKUP(TabelaAtivos[[#This Row],[Ambiente]],TabelaAmbientes[Ambiente],TabelaAmbientes[Zona],"",0,1)</f>
        <v/>
      </c>
      <c r="M55" s="2"/>
      <c r="N55" s="2" t="str">
        <f t="shared" si="5"/>
        <v/>
      </c>
      <c r="O55" t="str">
        <f t="shared" si="6"/>
        <v/>
      </c>
      <c r="P55" t="str">
        <f t="shared" si="7"/>
        <v/>
      </c>
      <c r="Q55" s="3"/>
      <c r="R55" s="3" t="str">
        <f t="shared" si="8"/>
        <v/>
      </c>
      <c r="U55" t="str">
        <f t="shared" ca="1" si="9"/>
        <v>Sem data</v>
      </c>
      <c r="X55" s="2">
        <v>51482</v>
      </c>
    </row>
    <row r="56" spans="2:24">
      <c r="B56" t="str">
        <f>_xlfn.XLOOKUP(TabelaAtivos[[#This Row],[Ambiente]],TabelaAmbientes[Ambiente],TabelaAmbientes[Cod_ambiente],"",0,1)</f>
        <v/>
      </c>
      <c r="D56" t="str">
        <f>_xlfn.XLOOKUP(TabelaAtivos[[#This Row],[Ambiente]],TabelaAmbientes[Ambiente],TabelaAmbientes[Zona],"",0,1)</f>
        <v/>
      </c>
      <c r="M56" s="2"/>
      <c r="N56" s="2" t="str">
        <f t="shared" si="5"/>
        <v/>
      </c>
      <c r="O56" t="str">
        <f t="shared" si="6"/>
        <v/>
      </c>
      <c r="P56" t="str">
        <f t="shared" si="7"/>
        <v/>
      </c>
      <c r="Q56" s="3"/>
      <c r="R56" s="3" t="str">
        <f t="shared" si="8"/>
        <v/>
      </c>
      <c r="U56" t="str">
        <f t="shared" ca="1" si="9"/>
        <v>Sem data</v>
      </c>
      <c r="X56" s="2">
        <v>51482</v>
      </c>
    </row>
    <row r="57" spans="2:24">
      <c r="B57" t="str">
        <f>_xlfn.XLOOKUP(TabelaAtivos[[#This Row],[Ambiente]],TabelaAmbientes[Ambiente],TabelaAmbientes[Cod_ambiente],"",0,1)</f>
        <v/>
      </c>
      <c r="D57" t="str">
        <f>_xlfn.XLOOKUP(TabelaAtivos[[#This Row],[Ambiente]],TabelaAmbientes[Ambiente],TabelaAmbientes[Zona],"",0,1)</f>
        <v/>
      </c>
      <c r="M57" s="2"/>
      <c r="N57" s="2" t="str">
        <f t="shared" si="5"/>
        <v/>
      </c>
      <c r="O57" t="str">
        <f t="shared" si="6"/>
        <v/>
      </c>
      <c r="P57" t="str">
        <f t="shared" si="7"/>
        <v/>
      </c>
      <c r="Q57" s="3"/>
      <c r="R57" s="3" t="str">
        <f t="shared" si="8"/>
        <v/>
      </c>
      <c r="U57" t="str">
        <f t="shared" ca="1" si="9"/>
        <v>Sem data</v>
      </c>
      <c r="X57" s="2">
        <v>51482</v>
      </c>
    </row>
    <row r="58" spans="2:24">
      <c r="B58" t="str">
        <f>_xlfn.XLOOKUP(TabelaAtivos[[#This Row],[Ambiente]],TabelaAmbientes[Ambiente],TabelaAmbientes[Cod_ambiente],"",0,1)</f>
        <v/>
      </c>
      <c r="D58" t="str">
        <f>_xlfn.XLOOKUP(TabelaAtivos[[#This Row],[Ambiente]],TabelaAmbientes[Ambiente],TabelaAmbientes[Zona],"",0,1)</f>
        <v/>
      </c>
      <c r="M58" s="2"/>
      <c r="N58" s="2" t="str">
        <f t="shared" si="5"/>
        <v/>
      </c>
      <c r="O58" t="str">
        <f t="shared" si="6"/>
        <v/>
      </c>
      <c r="P58" t="str">
        <f t="shared" si="7"/>
        <v/>
      </c>
      <c r="Q58" s="3"/>
      <c r="R58" s="3" t="str">
        <f t="shared" si="8"/>
        <v/>
      </c>
      <c r="U58" t="str">
        <f t="shared" ca="1" si="9"/>
        <v>Sem data</v>
      </c>
      <c r="X58" s="2">
        <v>51482</v>
      </c>
    </row>
    <row r="59" spans="2:24">
      <c r="B59" t="str">
        <f>_xlfn.XLOOKUP(TabelaAtivos[[#This Row],[Ambiente]],TabelaAmbientes[Ambiente],TabelaAmbientes[Cod_ambiente],"",0,1)</f>
        <v/>
      </c>
      <c r="D59" t="str">
        <f>_xlfn.XLOOKUP(TabelaAtivos[[#This Row],[Ambiente]],TabelaAmbientes[Ambiente],TabelaAmbientes[Zona],"",0,1)</f>
        <v/>
      </c>
      <c r="M59" s="2"/>
      <c r="N59" s="2" t="str">
        <f t="shared" si="5"/>
        <v/>
      </c>
      <c r="O59" t="str">
        <f t="shared" si="6"/>
        <v/>
      </c>
      <c r="P59" t="str">
        <f t="shared" si="7"/>
        <v/>
      </c>
      <c r="Q59" s="3"/>
      <c r="R59" s="3" t="str">
        <f t="shared" si="8"/>
        <v/>
      </c>
      <c r="U59" t="str">
        <f t="shared" ca="1" si="9"/>
        <v>Sem data</v>
      </c>
      <c r="X59" s="2">
        <v>51482</v>
      </c>
    </row>
    <row r="60" spans="2:24">
      <c r="B60" t="str">
        <f>_xlfn.XLOOKUP(TabelaAtivos[[#This Row],[Ambiente]],TabelaAmbientes[Ambiente],TabelaAmbientes[Cod_ambiente],"",0,1)</f>
        <v/>
      </c>
      <c r="D60" t="str">
        <f>_xlfn.XLOOKUP(TabelaAtivos[[#This Row],[Ambiente]],TabelaAmbientes[Ambiente],TabelaAmbientes[Zona],"",0,1)</f>
        <v/>
      </c>
      <c r="M60" s="2"/>
      <c r="N60" s="2" t="str">
        <f t="shared" si="5"/>
        <v/>
      </c>
      <c r="O60" t="str">
        <f t="shared" si="6"/>
        <v/>
      </c>
      <c r="P60" t="str">
        <f t="shared" si="7"/>
        <v/>
      </c>
      <c r="Q60" s="3"/>
      <c r="R60" s="3" t="str">
        <f t="shared" si="8"/>
        <v/>
      </c>
      <c r="U60" t="str">
        <f t="shared" ca="1" si="9"/>
        <v>Sem data</v>
      </c>
      <c r="X60" s="2">
        <v>51482</v>
      </c>
    </row>
    <row r="61" spans="2:24">
      <c r="B61" t="str">
        <f>_xlfn.XLOOKUP(TabelaAtivos[[#This Row],[Ambiente]],TabelaAmbientes[Ambiente],TabelaAmbientes[Cod_ambiente],"",0,1)</f>
        <v/>
      </c>
      <c r="D61" t="str">
        <f>_xlfn.XLOOKUP(TabelaAtivos[[#This Row],[Ambiente]],TabelaAmbientes[Ambiente],TabelaAmbientes[Zona],"",0,1)</f>
        <v/>
      </c>
      <c r="M61" s="2"/>
      <c r="N61" s="2" t="str">
        <f t="shared" si="5"/>
        <v/>
      </c>
      <c r="O61" t="str">
        <f t="shared" si="6"/>
        <v/>
      </c>
      <c r="P61" t="str">
        <f t="shared" si="7"/>
        <v/>
      </c>
      <c r="Q61" s="3"/>
      <c r="R61" s="3" t="str">
        <f t="shared" si="8"/>
        <v/>
      </c>
      <c r="U61" t="str">
        <f t="shared" ca="1" si="9"/>
        <v>Sem data</v>
      </c>
      <c r="X61" s="2">
        <v>51482</v>
      </c>
    </row>
    <row r="62" spans="2:24">
      <c r="B62" t="str">
        <f>_xlfn.XLOOKUP(TabelaAtivos[[#This Row],[Ambiente]],TabelaAmbientes[Ambiente],TabelaAmbientes[Cod_ambiente],"",0,1)</f>
        <v/>
      </c>
      <c r="D62" t="str">
        <f>_xlfn.XLOOKUP(TabelaAtivos[[#This Row],[Ambiente]],TabelaAmbientes[Ambiente],TabelaAmbientes[Zona],"",0,1)</f>
        <v/>
      </c>
      <c r="M62" s="2"/>
      <c r="N62" s="2" t="str">
        <f t="shared" si="5"/>
        <v/>
      </c>
      <c r="O62" t="str">
        <f t="shared" si="6"/>
        <v/>
      </c>
      <c r="P62" t="str">
        <f t="shared" si="7"/>
        <v/>
      </c>
      <c r="Q62" s="3"/>
      <c r="R62" s="3" t="str">
        <f t="shared" si="8"/>
        <v/>
      </c>
      <c r="U62" t="str">
        <f t="shared" ca="1" si="9"/>
        <v>Sem data</v>
      </c>
      <c r="X62" s="2">
        <v>51482</v>
      </c>
    </row>
    <row r="63" spans="2:24">
      <c r="B63" t="str">
        <f>_xlfn.XLOOKUP(TabelaAtivos[[#This Row],[Ambiente]],TabelaAmbientes[Ambiente],TabelaAmbientes[Cod_ambiente],"",0,1)</f>
        <v/>
      </c>
      <c r="D63" t="str">
        <f>_xlfn.XLOOKUP(TabelaAtivos[[#This Row],[Ambiente]],TabelaAmbientes[Ambiente],TabelaAmbientes[Zona],"",0,1)</f>
        <v/>
      </c>
      <c r="M63" s="2"/>
      <c r="N63" s="2" t="str">
        <f t="shared" si="5"/>
        <v/>
      </c>
      <c r="O63" t="str">
        <f t="shared" si="6"/>
        <v/>
      </c>
      <c r="P63" t="str">
        <f t="shared" si="7"/>
        <v/>
      </c>
      <c r="Q63" s="3"/>
      <c r="R63" s="3" t="str">
        <f t="shared" si="8"/>
        <v/>
      </c>
      <c r="U63" t="str">
        <f t="shared" ca="1" si="9"/>
        <v>Sem data</v>
      </c>
      <c r="X63" s="2">
        <v>51482</v>
      </c>
    </row>
    <row r="64" spans="2:24">
      <c r="B64" t="str">
        <f>_xlfn.XLOOKUP(TabelaAtivos[[#This Row],[Ambiente]],TabelaAmbientes[Ambiente],TabelaAmbientes[Cod_ambiente],"",0,1)</f>
        <v/>
      </c>
      <c r="D64" t="str">
        <f>_xlfn.XLOOKUP(TabelaAtivos[[#This Row],[Ambiente]],TabelaAmbientes[Ambiente],TabelaAmbientes[Zona],"",0,1)</f>
        <v/>
      </c>
      <c r="M64" s="2"/>
      <c r="N64" s="2" t="str">
        <f t="shared" si="5"/>
        <v/>
      </c>
      <c r="O64" t="str">
        <f t="shared" si="6"/>
        <v/>
      </c>
      <c r="P64" t="str">
        <f t="shared" si="7"/>
        <v/>
      </c>
      <c r="Q64" s="3"/>
      <c r="R64" s="3" t="str">
        <f t="shared" si="8"/>
        <v/>
      </c>
      <c r="U64" t="str">
        <f t="shared" ca="1" si="9"/>
        <v>Sem data</v>
      </c>
      <c r="X64" s="2">
        <v>51482</v>
      </c>
    </row>
    <row r="65" spans="2:24">
      <c r="B65" t="str">
        <f>_xlfn.XLOOKUP(TabelaAtivos[[#This Row],[Ambiente]],TabelaAmbientes[Ambiente],TabelaAmbientes[Cod_ambiente],"",0,1)</f>
        <v/>
      </c>
      <c r="D65" t="str">
        <f>_xlfn.XLOOKUP(TabelaAtivos[[#This Row],[Ambiente]],TabelaAmbientes[Ambiente],TabelaAmbientes[Zona],"",0,1)</f>
        <v/>
      </c>
      <c r="M65" s="2"/>
      <c r="N65" s="2" t="str">
        <f t="shared" si="5"/>
        <v/>
      </c>
      <c r="O65" t="str">
        <f t="shared" si="6"/>
        <v/>
      </c>
      <c r="P65" t="str">
        <f t="shared" si="7"/>
        <v/>
      </c>
      <c r="Q65" s="3"/>
      <c r="R65" s="3" t="str">
        <f t="shared" si="8"/>
        <v/>
      </c>
      <c r="U65" t="str">
        <f t="shared" ca="1" si="9"/>
        <v>Sem data</v>
      </c>
      <c r="X65" s="2">
        <v>51482</v>
      </c>
    </row>
    <row r="66" spans="2:24">
      <c r="B66" t="str">
        <f>_xlfn.XLOOKUP(TabelaAtivos[[#This Row],[Ambiente]],TabelaAmbientes[Ambiente],TabelaAmbientes[Cod_ambiente],"",0,1)</f>
        <v/>
      </c>
      <c r="D66" t="str">
        <f>_xlfn.XLOOKUP(TabelaAtivos[[#This Row],[Ambiente]],TabelaAmbientes[Ambiente],TabelaAmbientes[Zona],"",0,1)</f>
        <v/>
      </c>
      <c r="M66" s="2"/>
      <c r="N66" s="2" t="str">
        <f t="shared" ref="N66:N97" si="10">IF(M66="","",EDATE(M66,L66))</f>
        <v/>
      </c>
      <c r="O66" t="str">
        <f t="shared" ref="O66:O97" si="11">IF(N66="","",YEAR(N66))</f>
        <v/>
      </c>
      <c r="P66" t="str">
        <f t="shared" ref="P66:P97" si="12">IF(N66="","",TEXT(N66,"mmm"))</f>
        <v/>
      </c>
      <c r="Q66" s="3"/>
      <c r="R66" s="3" t="str">
        <f t="shared" ref="R66:R97" si="13">IF(OR(J66="",Q66=""),"",J66*Q66)</f>
        <v/>
      </c>
      <c r="U66" t="str">
        <f t="shared" ref="U66:U97" ca="1" si="14">IF(N66="","Sem data",IF(N66&lt;TODAY(),"Vencido",IF(N66&lt;=TODAY()+30,"Próx. 30 dias",IF(N66&lt;=TODAY()+90,"Próx. 90 dias","Programado"))))</f>
        <v>Sem data</v>
      </c>
      <c r="X66" s="2">
        <v>51482</v>
      </c>
    </row>
    <row r="67" spans="2:24">
      <c r="B67" t="str">
        <f>_xlfn.XLOOKUP(TabelaAtivos[[#This Row],[Ambiente]],TabelaAmbientes[Ambiente],TabelaAmbientes[Cod_ambiente],"",0,1)</f>
        <v/>
      </c>
      <c r="D67" t="str">
        <f>_xlfn.XLOOKUP(TabelaAtivos[[#This Row],[Ambiente]],TabelaAmbientes[Ambiente],TabelaAmbientes[Zona],"",0,1)</f>
        <v/>
      </c>
      <c r="M67" s="2"/>
      <c r="N67" s="2" t="str">
        <f t="shared" si="10"/>
        <v/>
      </c>
      <c r="O67" t="str">
        <f t="shared" si="11"/>
        <v/>
      </c>
      <c r="P67" t="str">
        <f t="shared" si="12"/>
        <v/>
      </c>
      <c r="Q67" s="3"/>
      <c r="R67" s="3" t="str">
        <f t="shared" si="13"/>
        <v/>
      </c>
      <c r="U67" t="str">
        <f t="shared" ca="1" si="14"/>
        <v>Sem data</v>
      </c>
      <c r="X67" s="2">
        <v>51482</v>
      </c>
    </row>
    <row r="68" spans="2:24">
      <c r="B68" t="str">
        <f>_xlfn.XLOOKUP(TabelaAtivos[[#This Row],[Ambiente]],TabelaAmbientes[Ambiente],TabelaAmbientes[Cod_ambiente],"",0,1)</f>
        <v/>
      </c>
      <c r="D68" t="str">
        <f>_xlfn.XLOOKUP(TabelaAtivos[[#This Row],[Ambiente]],TabelaAmbientes[Ambiente],TabelaAmbientes[Zona],"",0,1)</f>
        <v/>
      </c>
      <c r="M68" s="2"/>
      <c r="N68" s="2" t="str">
        <f t="shared" si="10"/>
        <v/>
      </c>
      <c r="O68" t="str">
        <f t="shared" si="11"/>
        <v/>
      </c>
      <c r="P68" t="str">
        <f t="shared" si="12"/>
        <v/>
      </c>
      <c r="Q68" s="3"/>
      <c r="R68" s="3" t="str">
        <f t="shared" si="13"/>
        <v/>
      </c>
      <c r="U68" t="str">
        <f t="shared" ca="1" si="14"/>
        <v>Sem data</v>
      </c>
      <c r="X68" s="2">
        <v>51482</v>
      </c>
    </row>
    <row r="69" spans="2:24">
      <c r="B69" t="str">
        <f>_xlfn.XLOOKUP(TabelaAtivos[[#This Row],[Ambiente]],TabelaAmbientes[Ambiente],TabelaAmbientes[Cod_ambiente],"",0,1)</f>
        <v/>
      </c>
      <c r="D69" t="str">
        <f>_xlfn.XLOOKUP(TabelaAtivos[[#This Row],[Ambiente]],TabelaAmbientes[Ambiente],TabelaAmbientes[Zona],"",0,1)</f>
        <v/>
      </c>
      <c r="M69" s="2"/>
      <c r="N69" s="2" t="str">
        <f t="shared" si="10"/>
        <v/>
      </c>
      <c r="O69" t="str">
        <f t="shared" si="11"/>
        <v/>
      </c>
      <c r="P69" t="str">
        <f t="shared" si="12"/>
        <v/>
      </c>
      <c r="Q69" s="3"/>
      <c r="R69" s="3" t="str">
        <f t="shared" si="13"/>
        <v/>
      </c>
      <c r="U69" t="str">
        <f t="shared" ca="1" si="14"/>
        <v>Sem data</v>
      </c>
      <c r="X69" s="2">
        <v>51482</v>
      </c>
    </row>
    <row r="70" spans="2:24">
      <c r="B70" t="str">
        <f>_xlfn.XLOOKUP(TabelaAtivos[[#This Row],[Ambiente]],TabelaAmbientes[Ambiente],TabelaAmbientes[Cod_ambiente],"",0,1)</f>
        <v/>
      </c>
      <c r="D70" t="str">
        <f>_xlfn.XLOOKUP(TabelaAtivos[[#This Row],[Ambiente]],TabelaAmbientes[Ambiente],TabelaAmbientes[Zona],"",0,1)</f>
        <v/>
      </c>
      <c r="M70" s="2"/>
      <c r="N70" s="2" t="str">
        <f t="shared" si="10"/>
        <v/>
      </c>
      <c r="O70" t="str">
        <f t="shared" si="11"/>
        <v/>
      </c>
      <c r="P70" t="str">
        <f t="shared" si="12"/>
        <v/>
      </c>
      <c r="Q70" s="3"/>
      <c r="R70" s="3" t="str">
        <f t="shared" si="13"/>
        <v/>
      </c>
      <c r="U70" t="str">
        <f t="shared" ca="1" si="14"/>
        <v>Sem data</v>
      </c>
      <c r="X70" s="2">
        <v>51482</v>
      </c>
    </row>
    <row r="71" spans="2:24">
      <c r="B71" t="str">
        <f>_xlfn.XLOOKUP(TabelaAtivos[[#This Row],[Ambiente]],TabelaAmbientes[Ambiente],TabelaAmbientes[Cod_ambiente],"",0,1)</f>
        <v/>
      </c>
      <c r="D71" t="str">
        <f>_xlfn.XLOOKUP(TabelaAtivos[[#This Row],[Ambiente]],TabelaAmbientes[Ambiente],TabelaAmbientes[Zona],"",0,1)</f>
        <v/>
      </c>
      <c r="M71" s="2"/>
      <c r="N71" s="2" t="str">
        <f t="shared" si="10"/>
        <v/>
      </c>
      <c r="O71" t="str">
        <f t="shared" si="11"/>
        <v/>
      </c>
      <c r="P71" t="str">
        <f t="shared" si="12"/>
        <v/>
      </c>
      <c r="Q71" s="3"/>
      <c r="R71" s="3" t="str">
        <f t="shared" si="13"/>
        <v/>
      </c>
      <c r="U71" t="str">
        <f t="shared" ca="1" si="14"/>
        <v>Sem data</v>
      </c>
      <c r="X71" s="2">
        <v>51482</v>
      </c>
    </row>
    <row r="72" spans="2:24">
      <c r="B72" t="str">
        <f>_xlfn.XLOOKUP(TabelaAtivos[[#This Row],[Ambiente]],TabelaAmbientes[Ambiente],TabelaAmbientes[Cod_ambiente],"",0,1)</f>
        <v/>
      </c>
      <c r="D72" t="str">
        <f>_xlfn.XLOOKUP(TabelaAtivos[[#This Row],[Ambiente]],TabelaAmbientes[Ambiente],TabelaAmbientes[Zona],"",0,1)</f>
        <v/>
      </c>
      <c r="M72" s="2"/>
      <c r="N72" s="2" t="str">
        <f t="shared" si="10"/>
        <v/>
      </c>
      <c r="O72" t="str">
        <f t="shared" si="11"/>
        <v/>
      </c>
      <c r="P72" t="str">
        <f t="shared" si="12"/>
        <v/>
      </c>
      <c r="Q72" s="3"/>
      <c r="R72" s="3" t="str">
        <f t="shared" si="13"/>
        <v/>
      </c>
      <c r="U72" t="str">
        <f t="shared" ca="1" si="14"/>
        <v>Sem data</v>
      </c>
      <c r="X72" s="2">
        <v>51482</v>
      </c>
    </row>
    <row r="73" spans="2:24">
      <c r="B73" t="str">
        <f>_xlfn.XLOOKUP(TabelaAtivos[[#This Row],[Ambiente]],TabelaAmbientes[Ambiente],TabelaAmbientes[Cod_ambiente],"",0,1)</f>
        <v/>
      </c>
      <c r="D73" t="str">
        <f>_xlfn.XLOOKUP(TabelaAtivos[[#This Row],[Ambiente]],TabelaAmbientes[Ambiente],TabelaAmbientes[Zona],"",0,1)</f>
        <v/>
      </c>
      <c r="M73" s="2"/>
      <c r="N73" s="2" t="str">
        <f t="shared" si="10"/>
        <v/>
      </c>
      <c r="O73" t="str">
        <f t="shared" si="11"/>
        <v/>
      </c>
      <c r="P73" t="str">
        <f t="shared" si="12"/>
        <v/>
      </c>
      <c r="Q73" s="3"/>
      <c r="R73" s="3" t="str">
        <f t="shared" si="13"/>
        <v/>
      </c>
      <c r="U73" t="str">
        <f t="shared" ca="1" si="14"/>
        <v>Sem data</v>
      </c>
      <c r="X73" s="2">
        <v>51482</v>
      </c>
    </row>
    <row r="74" spans="2:24">
      <c r="B74" t="str">
        <f>_xlfn.XLOOKUP(TabelaAtivos[[#This Row],[Ambiente]],TabelaAmbientes[Ambiente],TabelaAmbientes[Cod_ambiente],"",0,1)</f>
        <v/>
      </c>
      <c r="D74" t="str">
        <f>_xlfn.XLOOKUP(TabelaAtivos[[#This Row],[Ambiente]],TabelaAmbientes[Ambiente],TabelaAmbientes[Zona],"",0,1)</f>
        <v/>
      </c>
      <c r="M74" s="2"/>
      <c r="N74" s="2" t="str">
        <f t="shared" si="10"/>
        <v/>
      </c>
      <c r="O74" t="str">
        <f t="shared" si="11"/>
        <v/>
      </c>
      <c r="P74" t="str">
        <f t="shared" si="12"/>
        <v/>
      </c>
      <c r="Q74" s="3"/>
      <c r="R74" s="3" t="str">
        <f t="shared" si="13"/>
        <v/>
      </c>
      <c r="U74" t="str">
        <f t="shared" ca="1" si="14"/>
        <v>Sem data</v>
      </c>
      <c r="X74" s="2">
        <v>51482</v>
      </c>
    </row>
    <row r="75" spans="2:24">
      <c r="B75" t="str">
        <f>_xlfn.XLOOKUP(TabelaAtivos[[#This Row],[Ambiente]],TabelaAmbientes[Ambiente],TabelaAmbientes[Cod_ambiente],"",0,1)</f>
        <v/>
      </c>
      <c r="D75" t="str">
        <f>_xlfn.XLOOKUP(TabelaAtivos[[#This Row],[Ambiente]],TabelaAmbientes[Ambiente],TabelaAmbientes[Zona],"",0,1)</f>
        <v/>
      </c>
      <c r="M75" s="2"/>
      <c r="N75" s="2" t="str">
        <f t="shared" si="10"/>
        <v/>
      </c>
      <c r="O75" t="str">
        <f t="shared" si="11"/>
        <v/>
      </c>
      <c r="P75" t="str">
        <f t="shared" si="12"/>
        <v/>
      </c>
      <c r="Q75" s="3"/>
      <c r="R75" s="3" t="str">
        <f t="shared" si="13"/>
        <v/>
      </c>
      <c r="U75" t="str">
        <f t="shared" ca="1" si="14"/>
        <v>Sem data</v>
      </c>
      <c r="X75" s="2">
        <v>51482</v>
      </c>
    </row>
    <row r="76" spans="2:24">
      <c r="B76" t="str">
        <f>_xlfn.XLOOKUP(TabelaAtivos[[#This Row],[Ambiente]],TabelaAmbientes[Ambiente],TabelaAmbientes[Cod_ambiente],"",0,1)</f>
        <v/>
      </c>
      <c r="D76" t="str">
        <f>_xlfn.XLOOKUP(TabelaAtivos[[#This Row],[Ambiente]],TabelaAmbientes[Ambiente],TabelaAmbientes[Zona],"",0,1)</f>
        <v/>
      </c>
      <c r="M76" s="2"/>
      <c r="N76" s="2" t="str">
        <f t="shared" si="10"/>
        <v/>
      </c>
      <c r="O76" t="str">
        <f t="shared" si="11"/>
        <v/>
      </c>
      <c r="P76" t="str">
        <f t="shared" si="12"/>
        <v/>
      </c>
      <c r="Q76" s="3"/>
      <c r="R76" s="3" t="str">
        <f t="shared" si="13"/>
        <v/>
      </c>
      <c r="U76" t="str">
        <f t="shared" ca="1" si="14"/>
        <v>Sem data</v>
      </c>
      <c r="X76" s="2">
        <v>51482</v>
      </c>
    </row>
    <row r="77" spans="2:24">
      <c r="B77" t="str">
        <f>_xlfn.XLOOKUP(TabelaAtivos[[#This Row],[Ambiente]],TabelaAmbientes[Ambiente],TabelaAmbientes[Cod_ambiente],"",0,1)</f>
        <v/>
      </c>
      <c r="D77" t="str">
        <f>_xlfn.XLOOKUP(TabelaAtivos[[#This Row],[Ambiente]],TabelaAmbientes[Ambiente],TabelaAmbientes[Zona],"",0,1)</f>
        <v/>
      </c>
      <c r="M77" s="2"/>
      <c r="N77" s="2" t="str">
        <f t="shared" si="10"/>
        <v/>
      </c>
      <c r="O77" t="str">
        <f t="shared" si="11"/>
        <v/>
      </c>
      <c r="P77" t="str">
        <f t="shared" si="12"/>
        <v/>
      </c>
      <c r="Q77" s="3"/>
      <c r="R77" s="3" t="str">
        <f t="shared" si="13"/>
        <v/>
      </c>
      <c r="U77" t="str">
        <f t="shared" ca="1" si="14"/>
        <v>Sem data</v>
      </c>
      <c r="X77" s="2">
        <v>51482</v>
      </c>
    </row>
    <row r="78" spans="2:24">
      <c r="B78" t="str">
        <f>_xlfn.XLOOKUP(TabelaAtivos[[#This Row],[Ambiente]],TabelaAmbientes[Ambiente],TabelaAmbientes[Cod_ambiente],"",0,1)</f>
        <v/>
      </c>
      <c r="D78" t="str">
        <f>_xlfn.XLOOKUP(TabelaAtivos[[#This Row],[Ambiente]],TabelaAmbientes[Ambiente],TabelaAmbientes[Zona],"",0,1)</f>
        <v/>
      </c>
      <c r="M78" s="2"/>
      <c r="N78" s="2" t="str">
        <f t="shared" si="10"/>
        <v/>
      </c>
      <c r="O78" t="str">
        <f t="shared" si="11"/>
        <v/>
      </c>
      <c r="P78" t="str">
        <f t="shared" si="12"/>
        <v/>
      </c>
      <c r="Q78" s="3"/>
      <c r="R78" s="3" t="str">
        <f t="shared" si="13"/>
        <v/>
      </c>
      <c r="U78" t="str">
        <f t="shared" ca="1" si="14"/>
        <v>Sem data</v>
      </c>
      <c r="X78" s="2">
        <v>51482</v>
      </c>
    </row>
    <row r="79" spans="2:24">
      <c r="B79" t="str">
        <f>_xlfn.XLOOKUP(TabelaAtivos[[#This Row],[Ambiente]],TabelaAmbientes[Ambiente],TabelaAmbientes[Cod_ambiente],"",0,1)</f>
        <v/>
      </c>
      <c r="D79" t="str">
        <f>_xlfn.XLOOKUP(TabelaAtivos[[#This Row],[Ambiente]],TabelaAmbientes[Ambiente],TabelaAmbientes[Zona],"",0,1)</f>
        <v/>
      </c>
      <c r="M79" s="2"/>
      <c r="N79" s="2" t="str">
        <f t="shared" si="10"/>
        <v/>
      </c>
      <c r="O79" t="str">
        <f t="shared" si="11"/>
        <v/>
      </c>
      <c r="P79" t="str">
        <f t="shared" si="12"/>
        <v/>
      </c>
      <c r="Q79" s="3"/>
      <c r="R79" s="3" t="str">
        <f t="shared" si="13"/>
        <v/>
      </c>
      <c r="U79" t="str">
        <f t="shared" ca="1" si="14"/>
        <v>Sem data</v>
      </c>
      <c r="X79" s="2">
        <v>51482</v>
      </c>
    </row>
    <row r="80" spans="2:24">
      <c r="B80" t="str">
        <f>_xlfn.XLOOKUP(TabelaAtivos[[#This Row],[Ambiente]],TabelaAmbientes[Ambiente],TabelaAmbientes[Cod_ambiente],"",0,1)</f>
        <v/>
      </c>
      <c r="D80" t="str">
        <f>_xlfn.XLOOKUP(TabelaAtivos[[#This Row],[Ambiente]],TabelaAmbientes[Ambiente],TabelaAmbientes[Zona],"",0,1)</f>
        <v/>
      </c>
      <c r="M80" s="2"/>
      <c r="N80" s="2" t="str">
        <f t="shared" si="10"/>
        <v/>
      </c>
      <c r="O80" t="str">
        <f t="shared" si="11"/>
        <v/>
      </c>
      <c r="P80" t="str">
        <f t="shared" si="12"/>
        <v/>
      </c>
      <c r="Q80" s="3"/>
      <c r="R80" s="3" t="str">
        <f t="shared" si="13"/>
        <v/>
      </c>
      <c r="U80" t="str">
        <f t="shared" ca="1" si="14"/>
        <v>Sem data</v>
      </c>
      <c r="X80" s="2">
        <v>51482</v>
      </c>
    </row>
    <row r="81" spans="2:24">
      <c r="B81" t="str">
        <f>_xlfn.XLOOKUP(TabelaAtivos[[#This Row],[Ambiente]],TabelaAmbientes[Ambiente],TabelaAmbientes[Cod_ambiente],"",0,1)</f>
        <v/>
      </c>
      <c r="D81" t="str">
        <f>_xlfn.XLOOKUP(TabelaAtivos[[#This Row],[Ambiente]],TabelaAmbientes[Ambiente],TabelaAmbientes[Zona],"",0,1)</f>
        <v/>
      </c>
      <c r="M81" s="2"/>
      <c r="N81" s="2" t="str">
        <f t="shared" si="10"/>
        <v/>
      </c>
      <c r="O81" t="str">
        <f t="shared" si="11"/>
        <v/>
      </c>
      <c r="P81" t="str">
        <f t="shared" si="12"/>
        <v/>
      </c>
      <c r="Q81" s="3"/>
      <c r="R81" s="3" t="str">
        <f t="shared" si="13"/>
        <v/>
      </c>
      <c r="U81" t="str">
        <f t="shared" ca="1" si="14"/>
        <v>Sem data</v>
      </c>
      <c r="X81" s="2">
        <v>51482</v>
      </c>
    </row>
    <row r="82" spans="2:24">
      <c r="B82" t="str">
        <f>_xlfn.XLOOKUP(TabelaAtivos[[#This Row],[Ambiente]],TabelaAmbientes[Ambiente],TabelaAmbientes[Cod_ambiente],"",0,1)</f>
        <v/>
      </c>
      <c r="D82" t="str">
        <f>_xlfn.XLOOKUP(TabelaAtivos[[#This Row],[Ambiente]],TabelaAmbientes[Ambiente],TabelaAmbientes[Zona],"",0,1)</f>
        <v/>
      </c>
      <c r="M82" s="2"/>
      <c r="N82" s="2" t="str">
        <f t="shared" si="10"/>
        <v/>
      </c>
      <c r="O82" t="str">
        <f t="shared" si="11"/>
        <v/>
      </c>
      <c r="P82" t="str">
        <f t="shared" si="12"/>
        <v/>
      </c>
      <c r="Q82" s="3"/>
      <c r="R82" s="3" t="str">
        <f t="shared" si="13"/>
        <v/>
      </c>
      <c r="U82" t="str">
        <f t="shared" ca="1" si="14"/>
        <v>Sem data</v>
      </c>
      <c r="X82" s="2">
        <v>51482</v>
      </c>
    </row>
    <row r="83" spans="2:24">
      <c r="B83" t="str">
        <f>_xlfn.XLOOKUP(TabelaAtivos[[#This Row],[Ambiente]],TabelaAmbientes[Ambiente],TabelaAmbientes[Cod_ambiente],"",0,1)</f>
        <v/>
      </c>
      <c r="D83" t="str">
        <f>_xlfn.XLOOKUP(TabelaAtivos[[#This Row],[Ambiente]],TabelaAmbientes[Ambiente],TabelaAmbientes[Zona],"",0,1)</f>
        <v/>
      </c>
      <c r="M83" s="2"/>
      <c r="N83" s="2" t="str">
        <f t="shared" si="10"/>
        <v/>
      </c>
      <c r="O83" t="str">
        <f t="shared" si="11"/>
        <v/>
      </c>
      <c r="P83" t="str">
        <f t="shared" si="12"/>
        <v/>
      </c>
      <c r="Q83" s="3"/>
      <c r="R83" s="3" t="str">
        <f t="shared" si="13"/>
        <v/>
      </c>
      <c r="U83" t="str">
        <f t="shared" ca="1" si="14"/>
        <v>Sem data</v>
      </c>
      <c r="X83" s="2">
        <v>51482</v>
      </c>
    </row>
    <row r="84" spans="2:24">
      <c r="B84" t="str">
        <f>_xlfn.XLOOKUP(TabelaAtivos[[#This Row],[Ambiente]],TabelaAmbientes[Ambiente],TabelaAmbientes[Cod_ambiente],"",0,1)</f>
        <v/>
      </c>
      <c r="D84" t="str">
        <f>_xlfn.XLOOKUP(TabelaAtivos[[#This Row],[Ambiente]],TabelaAmbientes[Ambiente],TabelaAmbientes[Zona],"",0,1)</f>
        <v/>
      </c>
      <c r="M84" s="2"/>
      <c r="N84" s="2" t="str">
        <f t="shared" si="10"/>
        <v/>
      </c>
      <c r="O84" t="str">
        <f t="shared" si="11"/>
        <v/>
      </c>
      <c r="P84" t="str">
        <f t="shared" si="12"/>
        <v/>
      </c>
      <c r="Q84" s="3"/>
      <c r="R84" s="3" t="str">
        <f t="shared" si="13"/>
        <v/>
      </c>
      <c r="U84" t="str">
        <f t="shared" ca="1" si="14"/>
        <v>Sem data</v>
      </c>
      <c r="X84" s="2">
        <v>51482</v>
      </c>
    </row>
    <row r="85" spans="2:24">
      <c r="B85" t="str">
        <f>_xlfn.XLOOKUP(TabelaAtivos[[#This Row],[Ambiente]],TabelaAmbientes[Ambiente],TabelaAmbientes[Cod_ambiente],"",0,1)</f>
        <v/>
      </c>
      <c r="D85" t="str">
        <f>_xlfn.XLOOKUP(TabelaAtivos[[#This Row],[Ambiente]],TabelaAmbientes[Ambiente],TabelaAmbientes[Zona],"",0,1)</f>
        <v/>
      </c>
      <c r="M85" s="2"/>
      <c r="N85" s="2" t="str">
        <f t="shared" si="10"/>
        <v/>
      </c>
      <c r="O85" t="str">
        <f t="shared" si="11"/>
        <v/>
      </c>
      <c r="P85" t="str">
        <f t="shared" si="12"/>
        <v/>
      </c>
      <c r="Q85" s="3"/>
      <c r="R85" s="3" t="str">
        <f t="shared" si="13"/>
        <v/>
      </c>
      <c r="U85" t="str">
        <f t="shared" ca="1" si="14"/>
        <v>Sem data</v>
      </c>
      <c r="X85" s="2">
        <v>51482</v>
      </c>
    </row>
    <row r="86" spans="2:24">
      <c r="B86" t="str">
        <f>_xlfn.XLOOKUP(TabelaAtivos[[#This Row],[Ambiente]],TabelaAmbientes[Ambiente],TabelaAmbientes[Cod_ambiente],"",0,1)</f>
        <v/>
      </c>
      <c r="D86" t="str">
        <f>_xlfn.XLOOKUP(TabelaAtivos[[#This Row],[Ambiente]],TabelaAmbientes[Ambiente],TabelaAmbientes[Zona],"",0,1)</f>
        <v/>
      </c>
      <c r="M86" s="2"/>
      <c r="N86" s="2" t="str">
        <f t="shared" si="10"/>
        <v/>
      </c>
      <c r="O86" t="str">
        <f t="shared" si="11"/>
        <v/>
      </c>
      <c r="P86" t="str">
        <f t="shared" si="12"/>
        <v/>
      </c>
      <c r="Q86" s="3"/>
      <c r="R86" s="3" t="str">
        <f t="shared" si="13"/>
        <v/>
      </c>
      <c r="U86" t="str">
        <f t="shared" ca="1" si="14"/>
        <v>Sem data</v>
      </c>
      <c r="X86" s="2">
        <v>51482</v>
      </c>
    </row>
    <row r="87" spans="2:24">
      <c r="B87" t="str">
        <f>_xlfn.XLOOKUP(TabelaAtivos[[#This Row],[Ambiente]],TabelaAmbientes[Ambiente],TabelaAmbientes[Cod_ambiente],"",0,1)</f>
        <v/>
      </c>
      <c r="D87" t="str">
        <f>_xlfn.XLOOKUP(TabelaAtivos[[#This Row],[Ambiente]],TabelaAmbientes[Ambiente],TabelaAmbientes[Zona],"",0,1)</f>
        <v/>
      </c>
      <c r="M87" s="2"/>
      <c r="N87" s="2" t="str">
        <f t="shared" si="10"/>
        <v/>
      </c>
      <c r="O87" t="str">
        <f t="shared" si="11"/>
        <v/>
      </c>
      <c r="P87" t="str">
        <f t="shared" si="12"/>
        <v/>
      </c>
      <c r="Q87" s="3"/>
      <c r="R87" s="3" t="str">
        <f t="shared" si="13"/>
        <v/>
      </c>
      <c r="U87" t="str">
        <f t="shared" ca="1" si="14"/>
        <v>Sem data</v>
      </c>
      <c r="X87" s="2">
        <v>51482</v>
      </c>
    </row>
    <row r="88" spans="2:24">
      <c r="B88" t="str">
        <f>_xlfn.XLOOKUP(TabelaAtivos[[#This Row],[Ambiente]],TabelaAmbientes[Ambiente],TabelaAmbientes[Cod_ambiente],"",0,1)</f>
        <v/>
      </c>
      <c r="D88" t="str">
        <f>_xlfn.XLOOKUP(TabelaAtivos[[#This Row],[Ambiente]],TabelaAmbientes[Ambiente],TabelaAmbientes[Zona],"",0,1)</f>
        <v/>
      </c>
      <c r="M88" s="2"/>
      <c r="N88" s="2" t="str">
        <f t="shared" si="10"/>
        <v/>
      </c>
      <c r="O88" t="str">
        <f t="shared" si="11"/>
        <v/>
      </c>
      <c r="P88" t="str">
        <f t="shared" si="12"/>
        <v/>
      </c>
      <c r="Q88" s="3"/>
      <c r="R88" s="3" t="str">
        <f t="shared" si="13"/>
        <v/>
      </c>
      <c r="U88" t="str">
        <f t="shared" ca="1" si="14"/>
        <v>Sem data</v>
      </c>
      <c r="X88" s="2">
        <v>51482</v>
      </c>
    </row>
    <row r="89" spans="2:24">
      <c r="B89" t="str">
        <f>_xlfn.XLOOKUP(TabelaAtivos[[#This Row],[Ambiente]],TabelaAmbientes[Ambiente],TabelaAmbientes[Cod_ambiente],"",0,1)</f>
        <v/>
      </c>
      <c r="D89" t="str">
        <f>_xlfn.XLOOKUP(TabelaAtivos[[#This Row],[Ambiente]],TabelaAmbientes[Ambiente],TabelaAmbientes[Zona],"",0,1)</f>
        <v/>
      </c>
      <c r="M89" s="2"/>
      <c r="N89" s="2" t="str">
        <f t="shared" si="10"/>
        <v/>
      </c>
      <c r="O89" t="str">
        <f t="shared" si="11"/>
        <v/>
      </c>
      <c r="P89" t="str">
        <f t="shared" si="12"/>
        <v/>
      </c>
      <c r="Q89" s="3"/>
      <c r="R89" s="3" t="str">
        <f t="shared" si="13"/>
        <v/>
      </c>
      <c r="U89" t="str">
        <f t="shared" ca="1" si="14"/>
        <v>Sem data</v>
      </c>
      <c r="X89" s="2">
        <v>51482</v>
      </c>
    </row>
    <row r="90" spans="2:24">
      <c r="B90" t="str">
        <f>_xlfn.XLOOKUP(TabelaAtivos[[#This Row],[Ambiente]],TabelaAmbientes[Ambiente],TabelaAmbientes[Cod_ambiente],"",0,1)</f>
        <v/>
      </c>
      <c r="D90" t="str">
        <f>_xlfn.XLOOKUP(TabelaAtivos[[#This Row],[Ambiente]],TabelaAmbientes[Ambiente],TabelaAmbientes[Zona],"",0,1)</f>
        <v/>
      </c>
      <c r="M90" s="2"/>
      <c r="N90" s="2" t="str">
        <f t="shared" si="10"/>
        <v/>
      </c>
      <c r="O90" t="str">
        <f t="shared" si="11"/>
        <v/>
      </c>
      <c r="P90" t="str">
        <f t="shared" si="12"/>
        <v/>
      </c>
      <c r="Q90" s="3"/>
      <c r="R90" s="3" t="str">
        <f t="shared" si="13"/>
        <v/>
      </c>
      <c r="U90" t="str">
        <f t="shared" ca="1" si="14"/>
        <v>Sem data</v>
      </c>
      <c r="X90" s="2">
        <v>51482</v>
      </c>
    </row>
    <row r="91" spans="2:24">
      <c r="B91" t="str">
        <f>_xlfn.XLOOKUP(TabelaAtivos[[#This Row],[Ambiente]],TabelaAmbientes[Ambiente],TabelaAmbientes[Cod_ambiente],"",0,1)</f>
        <v/>
      </c>
      <c r="D91" t="str">
        <f>_xlfn.XLOOKUP(TabelaAtivos[[#This Row],[Ambiente]],TabelaAmbientes[Ambiente],TabelaAmbientes[Zona],"",0,1)</f>
        <v/>
      </c>
      <c r="M91" s="2"/>
      <c r="N91" s="2" t="str">
        <f t="shared" si="10"/>
        <v/>
      </c>
      <c r="O91" t="str">
        <f t="shared" si="11"/>
        <v/>
      </c>
      <c r="P91" t="str">
        <f t="shared" si="12"/>
        <v/>
      </c>
      <c r="Q91" s="3"/>
      <c r="R91" s="3" t="str">
        <f t="shared" si="13"/>
        <v/>
      </c>
      <c r="U91" t="str">
        <f t="shared" ca="1" si="14"/>
        <v>Sem data</v>
      </c>
      <c r="X91" s="2">
        <v>51482</v>
      </c>
    </row>
    <row r="92" spans="2:24">
      <c r="B92" t="str">
        <f>_xlfn.XLOOKUP(TabelaAtivos[[#This Row],[Ambiente]],TabelaAmbientes[Ambiente],TabelaAmbientes[Cod_ambiente],"",0,1)</f>
        <v/>
      </c>
      <c r="D92" t="str">
        <f>_xlfn.XLOOKUP(TabelaAtivos[[#This Row],[Ambiente]],TabelaAmbientes[Ambiente],TabelaAmbientes[Zona],"",0,1)</f>
        <v/>
      </c>
      <c r="M92" s="2"/>
      <c r="N92" s="2" t="str">
        <f t="shared" si="10"/>
        <v/>
      </c>
      <c r="O92" t="str">
        <f t="shared" si="11"/>
        <v/>
      </c>
      <c r="P92" t="str">
        <f t="shared" si="12"/>
        <v/>
      </c>
      <c r="Q92" s="3"/>
      <c r="R92" s="3" t="str">
        <f t="shared" si="13"/>
        <v/>
      </c>
      <c r="U92" t="str">
        <f t="shared" ca="1" si="14"/>
        <v>Sem data</v>
      </c>
      <c r="X92" s="2">
        <v>51482</v>
      </c>
    </row>
    <row r="93" spans="2:24">
      <c r="B93" t="str">
        <f>_xlfn.XLOOKUP(TabelaAtivos[[#This Row],[Ambiente]],TabelaAmbientes[Ambiente],TabelaAmbientes[Cod_ambiente],"",0,1)</f>
        <v/>
      </c>
      <c r="D93" t="str">
        <f>_xlfn.XLOOKUP(TabelaAtivos[[#This Row],[Ambiente]],TabelaAmbientes[Ambiente],TabelaAmbientes[Zona],"",0,1)</f>
        <v/>
      </c>
      <c r="M93" s="2"/>
      <c r="N93" s="2" t="str">
        <f t="shared" si="10"/>
        <v/>
      </c>
      <c r="O93" t="str">
        <f t="shared" si="11"/>
        <v/>
      </c>
      <c r="P93" t="str">
        <f t="shared" si="12"/>
        <v/>
      </c>
      <c r="Q93" s="3"/>
      <c r="R93" s="3" t="str">
        <f t="shared" si="13"/>
        <v/>
      </c>
      <c r="U93" t="str">
        <f t="shared" ca="1" si="14"/>
        <v>Sem data</v>
      </c>
      <c r="X93" s="2">
        <v>51482</v>
      </c>
    </row>
    <row r="94" spans="2:24">
      <c r="B94" t="str">
        <f>_xlfn.XLOOKUP(TabelaAtivos[[#This Row],[Ambiente]],TabelaAmbientes[Ambiente],TabelaAmbientes[Cod_ambiente],"",0,1)</f>
        <v/>
      </c>
      <c r="D94" t="str">
        <f>_xlfn.XLOOKUP(TabelaAtivos[[#This Row],[Ambiente]],TabelaAmbientes[Ambiente],TabelaAmbientes[Zona],"",0,1)</f>
        <v/>
      </c>
      <c r="M94" s="2"/>
      <c r="N94" s="2" t="str">
        <f t="shared" si="10"/>
        <v/>
      </c>
      <c r="O94" t="str">
        <f t="shared" si="11"/>
        <v/>
      </c>
      <c r="P94" t="str">
        <f t="shared" si="12"/>
        <v/>
      </c>
      <c r="Q94" s="3"/>
      <c r="R94" s="3" t="str">
        <f t="shared" si="13"/>
        <v/>
      </c>
      <c r="U94" t="str">
        <f t="shared" ca="1" si="14"/>
        <v>Sem data</v>
      </c>
      <c r="X94" s="2">
        <v>51482</v>
      </c>
    </row>
    <row r="95" spans="2:24">
      <c r="B95" t="str">
        <f>_xlfn.XLOOKUP(TabelaAtivos[[#This Row],[Ambiente]],TabelaAmbientes[Ambiente],TabelaAmbientes[Cod_ambiente],"",0,1)</f>
        <v/>
      </c>
      <c r="D95" t="str">
        <f>_xlfn.XLOOKUP(TabelaAtivos[[#This Row],[Ambiente]],TabelaAmbientes[Ambiente],TabelaAmbientes[Zona],"",0,1)</f>
        <v/>
      </c>
      <c r="M95" s="2"/>
      <c r="N95" s="2" t="str">
        <f t="shared" si="10"/>
        <v/>
      </c>
      <c r="O95" t="str">
        <f t="shared" si="11"/>
        <v/>
      </c>
      <c r="P95" t="str">
        <f t="shared" si="12"/>
        <v/>
      </c>
      <c r="Q95" s="3"/>
      <c r="R95" s="3" t="str">
        <f t="shared" si="13"/>
        <v/>
      </c>
      <c r="U95" t="str">
        <f t="shared" ca="1" si="14"/>
        <v>Sem data</v>
      </c>
      <c r="X95" s="2">
        <v>51482</v>
      </c>
    </row>
    <row r="96" spans="2:24">
      <c r="B96" t="str">
        <f>_xlfn.XLOOKUP(TabelaAtivos[[#This Row],[Ambiente]],TabelaAmbientes[Ambiente],TabelaAmbientes[Cod_ambiente],"",0,1)</f>
        <v/>
      </c>
      <c r="D96" t="str">
        <f>_xlfn.XLOOKUP(TabelaAtivos[[#This Row],[Ambiente]],TabelaAmbientes[Ambiente],TabelaAmbientes[Zona],"",0,1)</f>
        <v/>
      </c>
      <c r="M96" s="2"/>
      <c r="N96" s="2" t="str">
        <f t="shared" si="10"/>
        <v/>
      </c>
      <c r="O96" t="str">
        <f t="shared" si="11"/>
        <v/>
      </c>
      <c r="P96" t="str">
        <f t="shared" si="12"/>
        <v/>
      </c>
      <c r="Q96" s="3"/>
      <c r="R96" s="3" t="str">
        <f t="shared" si="13"/>
        <v/>
      </c>
      <c r="U96" t="str">
        <f t="shared" ca="1" si="14"/>
        <v>Sem data</v>
      </c>
      <c r="X96" s="2">
        <v>51482</v>
      </c>
    </row>
    <row r="97" spans="2:24">
      <c r="B97" t="str">
        <f>_xlfn.XLOOKUP(TabelaAtivos[[#This Row],[Ambiente]],TabelaAmbientes[Ambiente],TabelaAmbientes[Cod_ambiente],"",0,1)</f>
        <v/>
      </c>
      <c r="D97" t="str">
        <f>_xlfn.XLOOKUP(TabelaAtivos[[#This Row],[Ambiente]],TabelaAmbientes[Ambiente],TabelaAmbientes[Zona],"",0,1)</f>
        <v/>
      </c>
      <c r="M97" s="2"/>
      <c r="N97" s="2" t="str">
        <f t="shared" si="10"/>
        <v/>
      </c>
      <c r="O97" t="str">
        <f t="shared" si="11"/>
        <v/>
      </c>
      <c r="P97" t="str">
        <f t="shared" si="12"/>
        <v/>
      </c>
      <c r="Q97" s="3"/>
      <c r="R97" s="3" t="str">
        <f t="shared" si="13"/>
        <v/>
      </c>
      <c r="U97" t="str">
        <f t="shared" ca="1" si="14"/>
        <v>Sem data</v>
      </c>
      <c r="X97" s="2">
        <v>51482</v>
      </c>
    </row>
    <row r="98" spans="2:24">
      <c r="B98" t="str">
        <f>_xlfn.XLOOKUP(TabelaAtivos[[#This Row],[Ambiente]],TabelaAmbientes[Ambiente],TabelaAmbientes[Cod_ambiente],"",0,1)</f>
        <v/>
      </c>
      <c r="D98" t="str">
        <f>_xlfn.XLOOKUP(TabelaAtivos[[#This Row],[Ambiente]],TabelaAmbientes[Ambiente],TabelaAmbientes[Zona],"",0,1)</f>
        <v/>
      </c>
      <c r="M98" s="2"/>
      <c r="N98" s="2" t="str">
        <f t="shared" ref="N98:N129" si="15">IF(M98="","",EDATE(M98,L98))</f>
        <v/>
      </c>
      <c r="O98" t="str">
        <f t="shared" ref="O98:O129" si="16">IF(N98="","",YEAR(N98))</f>
        <v/>
      </c>
      <c r="P98" t="str">
        <f t="shared" ref="P98:P129" si="17">IF(N98="","",TEXT(N98,"mmm"))</f>
        <v/>
      </c>
      <c r="Q98" s="3"/>
      <c r="R98" s="3" t="str">
        <f t="shared" ref="R98:R129" si="18">IF(OR(J98="",Q98=""),"",J98*Q98)</f>
        <v/>
      </c>
      <c r="U98" t="str">
        <f t="shared" ref="U98:U129" ca="1" si="19">IF(N98="","Sem data",IF(N98&lt;TODAY(),"Vencido",IF(N98&lt;=TODAY()+30,"Próx. 30 dias",IF(N98&lt;=TODAY()+90,"Próx. 90 dias","Programado"))))</f>
        <v>Sem data</v>
      </c>
      <c r="X98" s="2">
        <v>51482</v>
      </c>
    </row>
    <row r="99" spans="2:24">
      <c r="B99" t="str">
        <f>_xlfn.XLOOKUP(TabelaAtivos[[#This Row],[Ambiente]],TabelaAmbientes[Ambiente],TabelaAmbientes[Cod_ambiente],"",0,1)</f>
        <v/>
      </c>
      <c r="D99" t="str">
        <f>_xlfn.XLOOKUP(TabelaAtivos[[#This Row],[Ambiente]],TabelaAmbientes[Ambiente],TabelaAmbientes[Zona],"",0,1)</f>
        <v/>
      </c>
      <c r="M99" s="2"/>
      <c r="N99" s="2" t="str">
        <f t="shared" si="15"/>
        <v/>
      </c>
      <c r="O99" t="str">
        <f t="shared" si="16"/>
        <v/>
      </c>
      <c r="P99" t="str">
        <f t="shared" si="17"/>
        <v/>
      </c>
      <c r="Q99" s="3"/>
      <c r="R99" s="3" t="str">
        <f t="shared" si="18"/>
        <v/>
      </c>
      <c r="U99" t="str">
        <f t="shared" ca="1" si="19"/>
        <v>Sem data</v>
      </c>
      <c r="X99" s="2">
        <v>51482</v>
      </c>
    </row>
    <row r="100" spans="2:24">
      <c r="B100" t="str">
        <f>_xlfn.XLOOKUP(TabelaAtivos[[#This Row],[Ambiente]],TabelaAmbientes[Ambiente],TabelaAmbientes[Cod_ambiente],"",0,1)</f>
        <v/>
      </c>
      <c r="D100" t="str">
        <f>_xlfn.XLOOKUP(TabelaAtivos[[#This Row],[Ambiente]],TabelaAmbientes[Ambiente],TabelaAmbientes[Zona],"",0,1)</f>
        <v/>
      </c>
      <c r="M100" s="2"/>
      <c r="N100" s="2" t="str">
        <f t="shared" si="15"/>
        <v/>
      </c>
      <c r="O100" t="str">
        <f t="shared" si="16"/>
        <v/>
      </c>
      <c r="P100" t="str">
        <f t="shared" si="17"/>
        <v/>
      </c>
      <c r="Q100" s="3"/>
      <c r="R100" s="3" t="str">
        <f t="shared" si="18"/>
        <v/>
      </c>
      <c r="U100" t="str">
        <f t="shared" ca="1" si="19"/>
        <v>Sem data</v>
      </c>
      <c r="X100" s="2">
        <v>51482</v>
      </c>
    </row>
    <row r="101" spans="2:24">
      <c r="B101" t="str">
        <f>_xlfn.XLOOKUP(TabelaAtivos[[#This Row],[Ambiente]],TabelaAmbientes[Ambiente],TabelaAmbientes[Cod_ambiente],"",0,1)</f>
        <v/>
      </c>
      <c r="D101" t="str">
        <f>_xlfn.XLOOKUP(TabelaAtivos[[#This Row],[Ambiente]],TabelaAmbientes[Ambiente],TabelaAmbientes[Zona],"",0,1)</f>
        <v/>
      </c>
      <c r="M101" s="2"/>
      <c r="N101" s="2" t="str">
        <f t="shared" si="15"/>
        <v/>
      </c>
      <c r="O101" t="str">
        <f t="shared" si="16"/>
        <v/>
      </c>
      <c r="P101" t="str">
        <f t="shared" si="17"/>
        <v/>
      </c>
      <c r="Q101" s="3"/>
      <c r="R101" s="3" t="str">
        <f t="shared" si="18"/>
        <v/>
      </c>
      <c r="U101" t="str">
        <f t="shared" ca="1" si="19"/>
        <v>Sem data</v>
      </c>
      <c r="X101" s="2">
        <v>51482</v>
      </c>
    </row>
    <row r="102" spans="2:24">
      <c r="B102" t="str">
        <f>_xlfn.XLOOKUP(TabelaAtivos[[#This Row],[Ambiente]],TabelaAmbientes[Ambiente],TabelaAmbientes[Cod_ambiente],"",0,1)</f>
        <v/>
      </c>
      <c r="D102" t="str">
        <f>_xlfn.XLOOKUP(TabelaAtivos[[#This Row],[Ambiente]],TabelaAmbientes[Ambiente],TabelaAmbientes[Zona],"",0,1)</f>
        <v/>
      </c>
      <c r="M102" s="2"/>
      <c r="N102" s="2" t="str">
        <f t="shared" si="15"/>
        <v/>
      </c>
      <c r="O102" t="str">
        <f t="shared" si="16"/>
        <v/>
      </c>
      <c r="P102" t="str">
        <f t="shared" si="17"/>
        <v/>
      </c>
      <c r="Q102" s="3"/>
      <c r="R102" s="3" t="str">
        <f t="shared" si="18"/>
        <v/>
      </c>
      <c r="U102" t="str">
        <f t="shared" ca="1" si="19"/>
        <v>Sem data</v>
      </c>
      <c r="X102" s="2">
        <v>51482</v>
      </c>
    </row>
    <row r="103" spans="2:24">
      <c r="B103" t="str">
        <f>_xlfn.XLOOKUP(TabelaAtivos[[#This Row],[Ambiente]],TabelaAmbientes[Ambiente],TabelaAmbientes[Cod_ambiente],"",0,1)</f>
        <v/>
      </c>
      <c r="D103" t="str">
        <f>_xlfn.XLOOKUP(TabelaAtivos[[#This Row],[Ambiente]],TabelaAmbientes[Ambiente],TabelaAmbientes[Zona],"",0,1)</f>
        <v/>
      </c>
      <c r="M103" s="2"/>
      <c r="N103" s="2" t="str">
        <f t="shared" si="15"/>
        <v/>
      </c>
      <c r="O103" t="str">
        <f t="shared" si="16"/>
        <v/>
      </c>
      <c r="P103" t="str">
        <f t="shared" si="17"/>
        <v/>
      </c>
      <c r="Q103" s="3"/>
      <c r="R103" s="3" t="str">
        <f t="shared" si="18"/>
        <v/>
      </c>
      <c r="U103" t="str">
        <f t="shared" ca="1" si="19"/>
        <v>Sem data</v>
      </c>
      <c r="X103" s="2">
        <v>51482</v>
      </c>
    </row>
    <row r="104" spans="2:24">
      <c r="B104" t="str">
        <f>_xlfn.XLOOKUP(TabelaAtivos[[#This Row],[Ambiente]],TabelaAmbientes[Ambiente],TabelaAmbientes[Cod_ambiente],"",0,1)</f>
        <v/>
      </c>
      <c r="D104" t="str">
        <f>_xlfn.XLOOKUP(TabelaAtivos[[#This Row],[Ambiente]],TabelaAmbientes[Ambiente],TabelaAmbientes[Zona],"",0,1)</f>
        <v/>
      </c>
      <c r="M104" s="2"/>
      <c r="N104" s="2" t="str">
        <f t="shared" si="15"/>
        <v/>
      </c>
      <c r="O104" t="str">
        <f t="shared" si="16"/>
        <v/>
      </c>
      <c r="P104" t="str">
        <f t="shared" si="17"/>
        <v/>
      </c>
      <c r="Q104" s="3"/>
      <c r="R104" s="3" t="str">
        <f t="shared" si="18"/>
        <v/>
      </c>
      <c r="U104" t="str">
        <f t="shared" ca="1" si="19"/>
        <v>Sem data</v>
      </c>
      <c r="X104" s="2">
        <v>51482</v>
      </c>
    </row>
    <row r="105" spans="2:24">
      <c r="B105" t="str">
        <f>_xlfn.XLOOKUP(TabelaAtivos[[#This Row],[Ambiente]],TabelaAmbientes[Ambiente],TabelaAmbientes[Cod_ambiente],"",0,1)</f>
        <v/>
      </c>
      <c r="D105" t="str">
        <f>_xlfn.XLOOKUP(TabelaAtivos[[#This Row],[Ambiente]],TabelaAmbientes[Ambiente],TabelaAmbientes[Zona],"",0,1)</f>
        <v/>
      </c>
      <c r="M105" s="2"/>
      <c r="N105" s="2" t="str">
        <f t="shared" si="15"/>
        <v/>
      </c>
      <c r="O105" t="str">
        <f t="shared" si="16"/>
        <v/>
      </c>
      <c r="P105" t="str">
        <f t="shared" si="17"/>
        <v/>
      </c>
      <c r="Q105" s="3"/>
      <c r="R105" s="3" t="str">
        <f t="shared" si="18"/>
        <v/>
      </c>
      <c r="U105" t="str">
        <f t="shared" ca="1" si="19"/>
        <v>Sem data</v>
      </c>
      <c r="X105" s="2">
        <v>51482</v>
      </c>
    </row>
    <row r="106" spans="2:24">
      <c r="B106" t="str">
        <f>_xlfn.XLOOKUP(TabelaAtivos[[#This Row],[Ambiente]],TabelaAmbientes[Ambiente],TabelaAmbientes[Cod_ambiente],"",0,1)</f>
        <v/>
      </c>
      <c r="D106" t="str">
        <f>_xlfn.XLOOKUP(TabelaAtivos[[#This Row],[Ambiente]],TabelaAmbientes[Ambiente],TabelaAmbientes[Zona],"",0,1)</f>
        <v/>
      </c>
      <c r="M106" s="2"/>
      <c r="N106" s="2" t="str">
        <f t="shared" si="15"/>
        <v/>
      </c>
      <c r="O106" t="str">
        <f t="shared" si="16"/>
        <v/>
      </c>
      <c r="P106" t="str">
        <f t="shared" si="17"/>
        <v/>
      </c>
      <c r="Q106" s="3"/>
      <c r="R106" s="3" t="str">
        <f t="shared" si="18"/>
        <v/>
      </c>
      <c r="U106" t="str">
        <f t="shared" ca="1" si="19"/>
        <v>Sem data</v>
      </c>
      <c r="X106" s="2">
        <v>51482</v>
      </c>
    </row>
    <row r="107" spans="2:24">
      <c r="B107" t="str">
        <f>_xlfn.XLOOKUP(TabelaAtivos[[#This Row],[Ambiente]],TabelaAmbientes[Ambiente],TabelaAmbientes[Cod_ambiente],"",0,1)</f>
        <v/>
      </c>
      <c r="D107" t="str">
        <f>_xlfn.XLOOKUP(TabelaAtivos[[#This Row],[Ambiente]],TabelaAmbientes[Ambiente],TabelaAmbientes[Zona],"",0,1)</f>
        <v/>
      </c>
      <c r="M107" s="2"/>
      <c r="N107" s="2" t="str">
        <f t="shared" si="15"/>
        <v/>
      </c>
      <c r="O107" t="str">
        <f t="shared" si="16"/>
        <v/>
      </c>
      <c r="P107" t="str">
        <f t="shared" si="17"/>
        <v/>
      </c>
      <c r="Q107" s="3"/>
      <c r="R107" s="3" t="str">
        <f t="shared" si="18"/>
        <v/>
      </c>
      <c r="U107" t="str">
        <f t="shared" ca="1" si="19"/>
        <v>Sem data</v>
      </c>
      <c r="X107" s="2">
        <v>51482</v>
      </c>
    </row>
    <row r="108" spans="2:24">
      <c r="B108" t="str">
        <f>_xlfn.XLOOKUP(TabelaAtivos[[#This Row],[Ambiente]],TabelaAmbientes[Ambiente],TabelaAmbientes[Cod_ambiente],"",0,1)</f>
        <v/>
      </c>
      <c r="D108" t="str">
        <f>_xlfn.XLOOKUP(TabelaAtivos[[#This Row],[Ambiente]],TabelaAmbientes[Ambiente],TabelaAmbientes[Zona],"",0,1)</f>
        <v/>
      </c>
      <c r="M108" s="2"/>
      <c r="N108" s="2" t="str">
        <f t="shared" si="15"/>
        <v/>
      </c>
      <c r="O108" t="str">
        <f t="shared" si="16"/>
        <v/>
      </c>
      <c r="P108" t="str">
        <f t="shared" si="17"/>
        <v/>
      </c>
      <c r="Q108" s="3"/>
      <c r="R108" s="3" t="str">
        <f t="shared" si="18"/>
        <v/>
      </c>
      <c r="U108" t="str">
        <f t="shared" ca="1" si="19"/>
        <v>Sem data</v>
      </c>
      <c r="X108" s="2">
        <v>51482</v>
      </c>
    </row>
    <row r="109" spans="2:24">
      <c r="B109" t="str">
        <f>_xlfn.XLOOKUP(TabelaAtivos[[#This Row],[Ambiente]],TabelaAmbientes[Ambiente],TabelaAmbientes[Cod_ambiente],"",0,1)</f>
        <v/>
      </c>
      <c r="D109" t="str">
        <f>_xlfn.XLOOKUP(TabelaAtivos[[#This Row],[Ambiente]],TabelaAmbientes[Ambiente],TabelaAmbientes[Zona],"",0,1)</f>
        <v/>
      </c>
      <c r="M109" s="2"/>
      <c r="N109" s="2" t="str">
        <f t="shared" si="15"/>
        <v/>
      </c>
      <c r="O109" t="str">
        <f t="shared" si="16"/>
        <v/>
      </c>
      <c r="P109" t="str">
        <f t="shared" si="17"/>
        <v/>
      </c>
      <c r="Q109" s="3"/>
      <c r="R109" s="3" t="str">
        <f t="shared" si="18"/>
        <v/>
      </c>
      <c r="U109" t="str">
        <f t="shared" ca="1" si="19"/>
        <v>Sem data</v>
      </c>
      <c r="X109" s="2">
        <v>51482</v>
      </c>
    </row>
    <row r="110" spans="2:24">
      <c r="B110" t="str">
        <f>_xlfn.XLOOKUP(TabelaAtivos[[#This Row],[Ambiente]],TabelaAmbientes[Ambiente],TabelaAmbientes[Cod_ambiente],"",0,1)</f>
        <v/>
      </c>
      <c r="D110" t="str">
        <f>_xlfn.XLOOKUP(TabelaAtivos[[#This Row],[Ambiente]],TabelaAmbientes[Ambiente],TabelaAmbientes[Zona],"",0,1)</f>
        <v/>
      </c>
      <c r="M110" s="2"/>
      <c r="N110" s="2" t="str">
        <f t="shared" si="15"/>
        <v/>
      </c>
      <c r="O110" t="str">
        <f t="shared" si="16"/>
        <v/>
      </c>
      <c r="P110" t="str">
        <f t="shared" si="17"/>
        <v/>
      </c>
      <c r="Q110" s="3"/>
      <c r="R110" s="3" t="str">
        <f t="shared" si="18"/>
        <v/>
      </c>
      <c r="U110" t="str">
        <f t="shared" ca="1" si="19"/>
        <v>Sem data</v>
      </c>
      <c r="X110" s="2">
        <v>51482</v>
      </c>
    </row>
    <row r="111" spans="2:24">
      <c r="B111" t="str">
        <f>_xlfn.XLOOKUP(TabelaAtivos[[#This Row],[Ambiente]],TabelaAmbientes[Ambiente],TabelaAmbientes[Cod_ambiente],"",0,1)</f>
        <v/>
      </c>
      <c r="D111" t="str">
        <f>_xlfn.XLOOKUP(TabelaAtivos[[#This Row],[Ambiente]],TabelaAmbientes[Ambiente],TabelaAmbientes[Zona],"",0,1)</f>
        <v/>
      </c>
      <c r="M111" s="2"/>
      <c r="N111" s="2" t="str">
        <f t="shared" si="15"/>
        <v/>
      </c>
      <c r="O111" t="str">
        <f t="shared" si="16"/>
        <v/>
      </c>
      <c r="P111" t="str">
        <f t="shared" si="17"/>
        <v/>
      </c>
      <c r="Q111" s="3"/>
      <c r="R111" s="3" t="str">
        <f t="shared" si="18"/>
        <v/>
      </c>
      <c r="U111" t="str">
        <f t="shared" ca="1" si="19"/>
        <v>Sem data</v>
      </c>
      <c r="X111" s="2">
        <v>51482</v>
      </c>
    </row>
    <row r="112" spans="2:24">
      <c r="B112" t="str">
        <f>_xlfn.XLOOKUP(TabelaAtivos[[#This Row],[Ambiente]],TabelaAmbientes[Ambiente],TabelaAmbientes[Cod_ambiente],"",0,1)</f>
        <v/>
      </c>
      <c r="D112" t="str">
        <f>_xlfn.XLOOKUP(TabelaAtivos[[#This Row],[Ambiente]],TabelaAmbientes[Ambiente],TabelaAmbientes[Zona],"",0,1)</f>
        <v/>
      </c>
      <c r="M112" s="2"/>
      <c r="N112" s="2" t="str">
        <f t="shared" si="15"/>
        <v/>
      </c>
      <c r="O112" t="str">
        <f t="shared" si="16"/>
        <v/>
      </c>
      <c r="P112" t="str">
        <f t="shared" si="17"/>
        <v/>
      </c>
      <c r="Q112" s="3"/>
      <c r="R112" s="3" t="str">
        <f t="shared" si="18"/>
        <v/>
      </c>
      <c r="U112" t="str">
        <f t="shared" ca="1" si="19"/>
        <v>Sem data</v>
      </c>
      <c r="X112" s="2">
        <v>51482</v>
      </c>
    </row>
    <row r="113" spans="2:24">
      <c r="B113" t="str">
        <f>_xlfn.XLOOKUP(TabelaAtivos[[#This Row],[Ambiente]],TabelaAmbientes[Ambiente],TabelaAmbientes[Cod_ambiente],"",0,1)</f>
        <v/>
      </c>
      <c r="D113" t="str">
        <f>_xlfn.XLOOKUP(TabelaAtivos[[#This Row],[Ambiente]],TabelaAmbientes[Ambiente],TabelaAmbientes[Zona],"",0,1)</f>
        <v/>
      </c>
      <c r="M113" s="2"/>
      <c r="N113" s="2" t="str">
        <f t="shared" si="15"/>
        <v/>
      </c>
      <c r="O113" t="str">
        <f t="shared" si="16"/>
        <v/>
      </c>
      <c r="P113" t="str">
        <f t="shared" si="17"/>
        <v/>
      </c>
      <c r="Q113" s="3"/>
      <c r="R113" s="3" t="str">
        <f t="shared" si="18"/>
        <v/>
      </c>
      <c r="U113" t="str">
        <f t="shared" ca="1" si="19"/>
        <v>Sem data</v>
      </c>
      <c r="X113" s="2">
        <v>51482</v>
      </c>
    </row>
    <row r="114" spans="2:24">
      <c r="B114" t="str">
        <f>_xlfn.XLOOKUP(TabelaAtivos[[#This Row],[Ambiente]],TabelaAmbientes[Ambiente],TabelaAmbientes[Cod_ambiente],"",0,1)</f>
        <v/>
      </c>
      <c r="D114" t="str">
        <f>_xlfn.XLOOKUP(TabelaAtivos[[#This Row],[Ambiente]],TabelaAmbientes[Ambiente],TabelaAmbientes[Zona],"",0,1)</f>
        <v/>
      </c>
      <c r="M114" s="2"/>
      <c r="N114" s="2" t="str">
        <f t="shared" si="15"/>
        <v/>
      </c>
      <c r="O114" t="str">
        <f t="shared" si="16"/>
        <v/>
      </c>
      <c r="P114" t="str">
        <f t="shared" si="17"/>
        <v/>
      </c>
      <c r="Q114" s="3"/>
      <c r="R114" s="3" t="str">
        <f t="shared" si="18"/>
        <v/>
      </c>
      <c r="U114" t="str">
        <f t="shared" ca="1" si="19"/>
        <v>Sem data</v>
      </c>
      <c r="X114" s="2">
        <v>51482</v>
      </c>
    </row>
    <row r="115" spans="2:24">
      <c r="B115" t="str">
        <f>_xlfn.XLOOKUP(TabelaAtivos[[#This Row],[Ambiente]],TabelaAmbientes[Ambiente],TabelaAmbientes[Cod_ambiente],"",0,1)</f>
        <v/>
      </c>
      <c r="D115" t="str">
        <f>_xlfn.XLOOKUP(TabelaAtivos[[#This Row],[Ambiente]],TabelaAmbientes[Ambiente],TabelaAmbientes[Zona],"",0,1)</f>
        <v/>
      </c>
      <c r="M115" s="2"/>
      <c r="N115" s="2" t="str">
        <f t="shared" si="15"/>
        <v/>
      </c>
      <c r="O115" t="str">
        <f t="shared" si="16"/>
        <v/>
      </c>
      <c r="P115" t="str">
        <f t="shared" si="17"/>
        <v/>
      </c>
      <c r="Q115" s="3"/>
      <c r="R115" s="3" t="str">
        <f t="shared" si="18"/>
        <v/>
      </c>
      <c r="U115" t="str">
        <f t="shared" ca="1" si="19"/>
        <v>Sem data</v>
      </c>
      <c r="X115" s="2">
        <v>51482</v>
      </c>
    </row>
    <row r="116" spans="2:24">
      <c r="B116" t="str">
        <f>_xlfn.XLOOKUP(TabelaAtivos[[#This Row],[Ambiente]],TabelaAmbientes[Ambiente],TabelaAmbientes[Cod_ambiente],"",0,1)</f>
        <v/>
      </c>
      <c r="D116" t="str">
        <f>_xlfn.XLOOKUP(TabelaAtivos[[#This Row],[Ambiente]],TabelaAmbientes[Ambiente],TabelaAmbientes[Zona],"",0,1)</f>
        <v/>
      </c>
      <c r="M116" s="2"/>
      <c r="N116" s="2" t="str">
        <f t="shared" si="15"/>
        <v/>
      </c>
      <c r="O116" t="str">
        <f t="shared" si="16"/>
        <v/>
      </c>
      <c r="P116" t="str">
        <f t="shared" si="17"/>
        <v/>
      </c>
      <c r="Q116" s="3"/>
      <c r="R116" s="3" t="str">
        <f t="shared" si="18"/>
        <v/>
      </c>
      <c r="U116" t="str">
        <f t="shared" ca="1" si="19"/>
        <v>Sem data</v>
      </c>
      <c r="X116" s="2">
        <v>51482</v>
      </c>
    </row>
    <row r="117" spans="2:24">
      <c r="B117" t="str">
        <f>_xlfn.XLOOKUP(TabelaAtivos[[#This Row],[Ambiente]],TabelaAmbientes[Ambiente],TabelaAmbientes[Cod_ambiente],"",0,1)</f>
        <v/>
      </c>
      <c r="D117" t="str">
        <f>_xlfn.XLOOKUP(TabelaAtivos[[#This Row],[Ambiente]],TabelaAmbientes[Ambiente],TabelaAmbientes[Zona],"",0,1)</f>
        <v/>
      </c>
      <c r="M117" s="2"/>
      <c r="N117" s="2" t="str">
        <f t="shared" si="15"/>
        <v/>
      </c>
      <c r="O117" t="str">
        <f t="shared" si="16"/>
        <v/>
      </c>
      <c r="P117" t="str">
        <f t="shared" si="17"/>
        <v/>
      </c>
      <c r="Q117" s="3"/>
      <c r="R117" s="3" t="str">
        <f t="shared" si="18"/>
        <v/>
      </c>
      <c r="U117" t="str">
        <f t="shared" ca="1" si="19"/>
        <v>Sem data</v>
      </c>
      <c r="X117" s="2">
        <v>51482</v>
      </c>
    </row>
    <row r="118" spans="2:24">
      <c r="B118" t="str">
        <f>_xlfn.XLOOKUP(TabelaAtivos[[#This Row],[Ambiente]],TabelaAmbientes[Ambiente],TabelaAmbientes[Cod_ambiente],"",0,1)</f>
        <v/>
      </c>
      <c r="D118" t="str">
        <f>_xlfn.XLOOKUP(TabelaAtivos[[#This Row],[Ambiente]],TabelaAmbientes[Ambiente],TabelaAmbientes[Zona],"",0,1)</f>
        <v/>
      </c>
      <c r="M118" s="2"/>
      <c r="N118" s="2" t="str">
        <f t="shared" si="15"/>
        <v/>
      </c>
      <c r="O118" t="str">
        <f t="shared" si="16"/>
        <v/>
      </c>
      <c r="P118" t="str">
        <f t="shared" si="17"/>
        <v/>
      </c>
      <c r="Q118" s="3"/>
      <c r="R118" s="3" t="str">
        <f t="shared" si="18"/>
        <v/>
      </c>
      <c r="U118" t="str">
        <f t="shared" ca="1" si="19"/>
        <v>Sem data</v>
      </c>
      <c r="X118" s="2">
        <v>51482</v>
      </c>
    </row>
    <row r="119" spans="2:24">
      <c r="B119" t="str">
        <f>_xlfn.XLOOKUP(TabelaAtivos[[#This Row],[Ambiente]],TabelaAmbientes[Ambiente],TabelaAmbientes[Cod_ambiente],"",0,1)</f>
        <v/>
      </c>
      <c r="D119" t="str">
        <f>_xlfn.XLOOKUP(TabelaAtivos[[#This Row],[Ambiente]],TabelaAmbientes[Ambiente],TabelaAmbientes[Zona],"",0,1)</f>
        <v/>
      </c>
      <c r="M119" s="2"/>
      <c r="N119" s="2" t="str">
        <f t="shared" si="15"/>
        <v/>
      </c>
      <c r="O119" t="str">
        <f t="shared" si="16"/>
        <v/>
      </c>
      <c r="P119" t="str">
        <f t="shared" si="17"/>
        <v/>
      </c>
      <c r="Q119" s="3"/>
      <c r="R119" s="3" t="str">
        <f t="shared" si="18"/>
        <v/>
      </c>
      <c r="U119" t="str">
        <f t="shared" ca="1" si="19"/>
        <v>Sem data</v>
      </c>
      <c r="X119" s="2">
        <v>51482</v>
      </c>
    </row>
    <row r="120" spans="2:24">
      <c r="B120" t="str">
        <f>_xlfn.XLOOKUP(TabelaAtivos[[#This Row],[Ambiente]],TabelaAmbientes[Ambiente],TabelaAmbientes[Cod_ambiente],"",0,1)</f>
        <v/>
      </c>
      <c r="D120" t="str">
        <f>_xlfn.XLOOKUP(TabelaAtivos[[#This Row],[Ambiente]],TabelaAmbientes[Ambiente],TabelaAmbientes[Zona],"",0,1)</f>
        <v/>
      </c>
      <c r="M120" s="2"/>
      <c r="N120" s="2" t="str">
        <f t="shared" si="15"/>
        <v/>
      </c>
      <c r="O120" t="str">
        <f t="shared" si="16"/>
        <v/>
      </c>
      <c r="P120" t="str">
        <f t="shared" si="17"/>
        <v/>
      </c>
      <c r="Q120" s="3"/>
      <c r="R120" s="3" t="str">
        <f t="shared" si="18"/>
        <v/>
      </c>
      <c r="U120" t="str">
        <f t="shared" ca="1" si="19"/>
        <v>Sem data</v>
      </c>
      <c r="X120" s="2">
        <v>51482</v>
      </c>
    </row>
    <row r="121" spans="2:24">
      <c r="B121" t="str">
        <f>_xlfn.XLOOKUP(TabelaAtivos[[#This Row],[Ambiente]],TabelaAmbientes[Ambiente],TabelaAmbientes[Cod_ambiente],"",0,1)</f>
        <v/>
      </c>
      <c r="D121" t="str">
        <f>_xlfn.XLOOKUP(TabelaAtivos[[#This Row],[Ambiente]],TabelaAmbientes[Ambiente],TabelaAmbientes[Zona],"",0,1)</f>
        <v/>
      </c>
      <c r="M121" s="2"/>
      <c r="N121" s="2" t="str">
        <f t="shared" si="15"/>
        <v/>
      </c>
      <c r="O121" t="str">
        <f t="shared" si="16"/>
        <v/>
      </c>
      <c r="P121" t="str">
        <f t="shared" si="17"/>
        <v/>
      </c>
      <c r="Q121" s="3"/>
      <c r="R121" s="3" t="str">
        <f t="shared" si="18"/>
        <v/>
      </c>
      <c r="U121" t="str">
        <f t="shared" ca="1" si="19"/>
        <v>Sem data</v>
      </c>
      <c r="X121" s="2">
        <v>51482</v>
      </c>
    </row>
    <row r="122" spans="2:24">
      <c r="B122" t="str">
        <f>_xlfn.XLOOKUP(TabelaAtivos[[#This Row],[Ambiente]],TabelaAmbientes[Ambiente],TabelaAmbientes[Cod_ambiente],"",0,1)</f>
        <v/>
      </c>
      <c r="D122" t="str">
        <f>_xlfn.XLOOKUP(TabelaAtivos[[#This Row],[Ambiente]],TabelaAmbientes[Ambiente],TabelaAmbientes[Zona],"",0,1)</f>
        <v/>
      </c>
      <c r="M122" s="2"/>
      <c r="N122" s="2" t="str">
        <f t="shared" si="15"/>
        <v/>
      </c>
      <c r="O122" t="str">
        <f t="shared" si="16"/>
        <v/>
      </c>
      <c r="P122" t="str">
        <f t="shared" si="17"/>
        <v/>
      </c>
      <c r="Q122" s="3"/>
      <c r="R122" s="3" t="str">
        <f t="shared" si="18"/>
        <v/>
      </c>
      <c r="U122" t="str">
        <f t="shared" ca="1" si="19"/>
        <v>Sem data</v>
      </c>
      <c r="X122" s="2">
        <v>51482</v>
      </c>
    </row>
    <row r="123" spans="2:24">
      <c r="B123" t="str">
        <f>_xlfn.XLOOKUP(TabelaAtivos[[#This Row],[Ambiente]],TabelaAmbientes[Ambiente],TabelaAmbientes[Cod_ambiente],"",0,1)</f>
        <v/>
      </c>
      <c r="D123" t="str">
        <f>_xlfn.XLOOKUP(TabelaAtivos[[#This Row],[Ambiente]],TabelaAmbientes[Ambiente],TabelaAmbientes[Zona],"",0,1)</f>
        <v/>
      </c>
      <c r="M123" s="2"/>
      <c r="N123" s="2" t="str">
        <f t="shared" si="15"/>
        <v/>
      </c>
      <c r="O123" t="str">
        <f t="shared" si="16"/>
        <v/>
      </c>
      <c r="P123" t="str">
        <f t="shared" si="17"/>
        <v/>
      </c>
      <c r="Q123" s="3"/>
      <c r="R123" s="3" t="str">
        <f t="shared" si="18"/>
        <v/>
      </c>
      <c r="U123" t="str">
        <f t="shared" ca="1" si="19"/>
        <v>Sem data</v>
      </c>
      <c r="X123" s="2">
        <v>51482</v>
      </c>
    </row>
    <row r="124" spans="2:24">
      <c r="B124" t="str">
        <f>_xlfn.XLOOKUP(TabelaAtivos[[#This Row],[Ambiente]],TabelaAmbientes[Ambiente],TabelaAmbientes[Cod_ambiente],"",0,1)</f>
        <v/>
      </c>
      <c r="D124" t="str">
        <f>_xlfn.XLOOKUP(TabelaAtivos[[#This Row],[Ambiente]],TabelaAmbientes[Ambiente],TabelaAmbientes[Zona],"",0,1)</f>
        <v/>
      </c>
      <c r="M124" s="2"/>
      <c r="N124" s="2" t="str">
        <f t="shared" si="15"/>
        <v/>
      </c>
      <c r="O124" t="str">
        <f t="shared" si="16"/>
        <v/>
      </c>
      <c r="P124" t="str">
        <f t="shared" si="17"/>
        <v/>
      </c>
      <c r="Q124" s="3"/>
      <c r="R124" s="3" t="str">
        <f t="shared" si="18"/>
        <v/>
      </c>
      <c r="U124" t="str">
        <f t="shared" ca="1" si="19"/>
        <v>Sem data</v>
      </c>
      <c r="X124" s="2">
        <v>51482</v>
      </c>
    </row>
    <row r="125" spans="2:24">
      <c r="B125" t="str">
        <f>_xlfn.XLOOKUP(TabelaAtivos[[#This Row],[Ambiente]],TabelaAmbientes[Ambiente],TabelaAmbientes[Cod_ambiente],"",0,1)</f>
        <v/>
      </c>
      <c r="D125" t="str">
        <f>_xlfn.XLOOKUP(TabelaAtivos[[#This Row],[Ambiente]],TabelaAmbientes[Ambiente],TabelaAmbientes[Zona],"",0,1)</f>
        <v/>
      </c>
      <c r="M125" s="2"/>
      <c r="N125" s="2" t="str">
        <f t="shared" si="15"/>
        <v/>
      </c>
      <c r="O125" t="str">
        <f t="shared" si="16"/>
        <v/>
      </c>
      <c r="P125" t="str">
        <f t="shared" si="17"/>
        <v/>
      </c>
      <c r="Q125" s="3"/>
      <c r="R125" s="3" t="str">
        <f t="shared" si="18"/>
        <v/>
      </c>
      <c r="U125" t="str">
        <f t="shared" ca="1" si="19"/>
        <v>Sem data</v>
      </c>
      <c r="X125" s="2">
        <v>51482</v>
      </c>
    </row>
    <row r="126" spans="2:24">
      <c r="B126" t="str">
        <f>_xlfn.XLOOKUP(TabelaAtivos[[#This Row],[Ambiente]],TabelaAmbientes[Ambiente],TabelaAmbientes[Cod_ambiente],"",0,1)</f>
        <v/>
      </c>
      <c r="D126" t="str">
        <f>_xlfn.XLOOKUP(TabelaAtivos[[#This Row],[Ambiente]],TabelaAmbientes[Ambiente],TabelaAmbientes[Zona],"",0,1)</f>
        <v/>
      </c>
      <c r="M126" s="2"/>
      <c r="N126" s="2" t="str">
        <f t="shared" si="15"/>
        <v/>
      </c>
      <c r="O126" t="str">
        <f t="shared" si="16"/>
        <v/>
      </c>
      <c r="P126" t="str">
        <f t="shared" si="17"/>
        <v/>
      </c>
      <c r="Q126" s="3"/>
      <c r="R126" s="3" t="str">
        <f t="shared" si="18"/>
        <v/>
      </c>
      <c r="U126" t="str">
        <f t="shared" ca="1" si="19"/>
        <v>Sem data</v>
      </c>
      <c r="X126" s="2">
        <v>51482</v>
      </c>
    </row>
    <row r="127" spans="2:24">
      <c r="B127" t="str">
        <f>_xlfn.XLOOKUP(TabelaAtivos[[#This Row],[Ambiente]],TabelaAmbientes[Ambiente],TabelaAmbientes[Cod_ambiente],"",0,1)</f>
        <v/>
      </c>
      <c r="D127" t="str">
        <f>_xlfn.XLOOKUP(TabelaAtivos[[#This Row],[Ambiente]],TabelaAmbientes[Ambiente],TabelaAmbientes[Zona],"",0,1)</f>
        <v/>
      </c>
      <c r="M127" s="2"/>
      <c r="N127" s="2" t="str">
        <f t="shared" si="15"/>
        <v/>
      </c>
      <c r="O127" t="str">
        <f t="shared" si="16"/>
        <v/>
      </c>
      <c r="P127" t="str">
        <f t="shared" si="17"/>
        <v/>
      </c>
      <c r="Q127" s="3"/>
      <c r="R127" s="3" t="str">
        <f t="shared" si="18"/>
        <v/>
      </c>
      <c r="U127" t="str">
        <f t="shared" ca="1" si="19"/>
        <v>Sem data</v>
      </c>
      <c r="X127" s="2">
        <v>51482</v>
      </c>
    </row>
    <row r="128" spans="2:24">
      <c r="B128" t="str">
        <f>_xlfn.XLOOKUP(TabelaAtivos[[#This Row],[Ambiente]],TabelaAmbientes[Ambiente],TabelaAmbientes[Cod_ambiente],"",0,1)</f>
        <v/>
      </c>
      <c r="D128" t="str">
        <f>_xlfn.XLOOKUP(TabelaAtivos[[#This Row],[Ambiente]],TabelaAmbientes[Ambiente],TabelaAmbientes[Zona],"",0,1)</f>
        <v/>
      </c>
      <c r="M128" s="2"/>
      <c r="N128" s="2" t="str">
        <f t="shared" si="15"/>
        <v/>
      </c>
      <c r="O128" t="str">
        <f t="shared" si="16"/>
        <v/>
      </c>
      <c r="P128" t="str">
        <f t="shared" si="17"/>
        <v/>
      </c>
      <c r="Q128" s="3"/>
      <c r="R128" s="3" t="str">
        <f t="shared" si="18"/>
        <v/>
      </c>
      <c r="U128" t="str">
        <f t="shared" ca="1" si="19"/>
        <v>Sem data</v>
      </c>
      <c r="X128" s="2">
        <v>51482</v>
      </c>
    </row>
    <row r="129" spans="2:24">
      <c r="B129" t="str">
        <f>_xlfn.XLOOKUP(TabelaAtivos[[#This Row],[Ambiente]],TabelaAmbientes[Ambiente],TabelaAmbientes[Cod_ambiente],"",0,1)</f>
        <v/>
      </c>
      <c r="D129" t="str">
        <f>_xlfn.XLOOKUP(TabelaAtivos[[#This Row],[Ambiente]],TabelaAmbientes[Ambiente],TabelaAmbientes[Zona],"",0,1)</f>
        <v/>
      </c>
      <c r="M129" s="2"/>
      <c r="N129" s="2" t="str">
        <f t="shared" si="15"/>
        <v/>
      </c>
      <c r="O129" t="str">
        <f t="shared" si="16"/>
        <v/>
      </c>
      <c r="P129" t="str">
        <f t="shared" si="17"/>
        <v/>
      </c>
      <c r="Q129" s="3"/>
      <c r="R129" s="3" t="str">
        <f t="shared" si="18"/>
        <v/>
      </c>
      <c r="U129" t="str">
        <f t="shared" ca="1" si="19"/>
        <v>Sem data</v>
      </c>
      <c r="X129" s="2">
        <v>51482</v>
      </c>
    </row>
    <row r="130" spans="2:24">
      <c r="B130" t="str">
        <f>_xlfn.XLOOKUP(TabelaAtivos[[#This Row],[Ambiente]],TabelaAmbientes[Ambiente],TabelaAmbientes[Cod_ambiente],"",0,1)</f>
        <v/>
      </c>
      <c r="D130" t="str">
        <f>_xlfn.XLOOKUP(TabelaAtivos[[#This Row],[Ambiente]],TabelaAmbientes[Ambiente],TabelaAmbientes[Zona],"",0,1)</f>
        <v/>
      </c>
      <c r="M130" s="2"/>
      <c r="N130" s="2" t="str">
        <f t="shared" ref="N130:N161" si="20">IF(M130="","",EDATE(M130,L130))</f>
        <v/>
      </c>
      <c r="O130" t="str">
        <f t="shared" ref="O130:O161" si="21">IF(N130="","",YEAR(N130))</f>
        <v/>
      </c>
      <c r="P130" t="str">
        <f t="shared" ref="P130:P161" si="22">IF(N130="","",TEXT(N130,"mmm"))</f>
        <v/>
      </c>
      <c r="Q130" s="3"/>
      <c r="R130" s="3" t="str">
        <f t="shared" ref="R130:R161" si="23">IF(OR(J130="",Q130=""),"",J130*Q130)</f>
        <v/>
      </c>
      <c r="U130" t="str">
        <f t="shared" ref="U130:U161" ca="1" si="24">IF(N130="","Sem data",IF(N130&lt;TODAY(),"Vencido",IF(N130&lt;=TODAY()+30,"Próx. 30 dias",IF(N130&lt;=TODAY()+90,"Próx. 90 dias","Programado"))))</f>
        <v>Sem data</v>
      </c>
      <c r="X130" s="2">
        <v>51482</v>
      </c>
    </row>
    <row r="131" spans="2:24">
      <c r="B131" t="str">
        <f>_xlfn.XLOOKUP(TabelaAtivos[[#This Row],[Ambiente]],TabelaAmbientes[Ambiente],TabelaAmbientes[Cod_ambiente],"",0,1)</f>
        <v/>
      </c>
      <c r="D131" t="str">
        <f>_xlfn.XLOOKUP(TabelaAtivos[[#This Row],[Ambiente]],TabelaAmbientes[Ambiente],TabelaAmbientes[Zona],"",0,1)</f>
        <v/>
      </c>
      <c r="M131" s="2"/>
      <c r="N131" s="2" t="str">
        <f t="shared" si="20"/>
        <v/>
      </c>
      <c r="O131" t="str">
        <f t="shared" si="21"/>
        <v/>
      </c>
      <c r="P131" t="str">
        <f t="shared" si="22"/>
        <v/>
      </c>
      <c r="Q131" s="3"/>
      <c r="R131" s="3" t="str">
        <f t="shared" si="23"/>
        <v/>
      </c>
      <c r="U131" t="str">
        <f t="shared" ca="1" si="24"/>
        <v>Sem data</v>
      </c>
      <c r="X131" s="2">
        <v>51482</v>
      </c>
    </row>
    <row r="132" spans="2:24">
      <c r="B132" t="str">
        <f>_xlfn.XLOOKUP(TabelaAtivos[[#This Row],[Ambiente]],TabelaAmbientes[Ambiente],TabelaAmbientes[Cod_ambiente],"",0,1)</f>
        <v/>
      </c>
      <c r="D132" t="str">
        <f>_xlfn.XLOOKUP(TabelaAtivos[[#This Row],[Ambiente]],TabelaAmbientes[Ambiente],TabelaAmbientes[Zona],"",0,1)</f>
        <v/>
      </c>
      <c r="M132" s="2"/>
      <c r="N132" s="2" t="str">
        <f t="shared" si="20"/>
        <v/>
      </c>
      <c r="O132" t="str">
        <f t="shared" si="21"/>
        <v/>
      </c>
      <c r="P132" t="str">
        <f t="shared" si="22"/>
        <v/>
      </c>
      <c r="Q132" s="3"/>
      <c r="R132" s="3" t="str">
        <f t="shared" si="23"/>
        <v/>
      </c>
      <c r="U132" t="str">
        <f t="shared" ca="1" si="24"/>
        <v>Sem data</v>
      </c>
      <c r="X132" s="2">
        <v>51482</v>
      </c>
    </row>
    <row r="133" spans="2:24">
      <c r="B133" t="str">
        <f>_xlfn.XLOOKUP(TabelaAtivos[[#This Row],[Ambiente]],TabelaAmbientes[Ambiente],TabelaAmbientes[Cod_ambiente],"",0,1)</f>
        <v/>
      </c>
      <c r="D133" t="str">
        <f>_xlfn.XLOOKUP(TabelaAtivos[[#This Row],[Ambiente]],TabelaAmbientes[Ambiente],TabelaAmbientes[Zona],"",0,1)</f>
        <v/>
      </c>
      <c r="M133" s="2"/>
      <c r="N133" s="2" t="str">
        <f t="shared" si="20"/>
        <v/>
      </c>
      <c r="O133" t="str">
        <f t="shared" si="21"/>
        <v/>
      </c>
      <c r="P133" t="str">
        <f t="shared" si="22"/>
        <v/>
      </c>
      <c r="Q133" s="3"/>
      <c r="R133" s="3" t="str">
        <f t="shared" si="23"/>
        <v/>
      </c>
      <c r="U133" t="str">
        <f t="shared" ca="1" si="24"/>
        <v>Sem data</v>
      </c>
      <c r="X133" s="2">
        <v>51482</v>
      </c>
    </row>
    <row r="134" spans="2:24">
      <c r="B134" t="str">
        <f>_xlfn.XLOOKUP(TabelaAtivos[[#This Row],[Ambiente]],TabelaAmbientes[Ambiente],TabelaAmbientes[Cod_ambiente],"",0,1)</f>
        <v/>
      </c>
      <c r="D134" t="str">
        <f>_xlfn.XLOOKUP(TabelaAtivos[[#This Row],[Ambiente]],TabelaAmbientes[Ambiente],TabelaAmbientes[Zona],"",0,1)</f>
        <v/>
      </c>
      <c r="M134" s="2"/>
      <c r="N134" s="2" t="str">
        <f t="shared" si="20"/>
        <v/>
      </c>
      <c r="O134" t="str">
        <f t="shared" si="21"/>
        <v/>
      </c>
      <c r="P134" t="str">
        <f t="shared" si="22"/>
        <v/>
      </c>
      <c r="Q134" s="3"/>
      <c r="R134" s="3" t="str">
        <f t="shared" si="23"/>
        <v/>
      </c>
      <c r="U134" t="str">
        <f t="shared" ca="1" si="24"/>
        <v>Sem data</v>
      </c>
      <c r="X134" s="2">
        <v>51482</v>
      </c>
    </row>
    <row r="135" spans="2:24">
      <c r="B135" t="str">
        <f>_xlfn.XLOOKUP(TabelaAtivos[[#This Row],[Ambiente]],TabelaAmbientes[Ambiente],TabelaAmbientes[Cod_ambiente],"",0,1)</f>
        <v/>
      </c>
      <c r="D135" t="str">
        <f>_xlfn.XLOOKUP(TabelaAtivos[[#This Row],[Ambiente]],TabelaAmbientes[Ambiente],TabelaAmbientes[Zona],"",0,1)</f>
        <v/>
      </c>
      <c r="M135" s="2"/>
      <c r="N135" s="2" t="str">
        <f t="shared" si="20"/>
        <v/>
      </c>
      <c r="O135" t="str">
        <f t="shared" si="21"/>
        <v/>
      </c>
      <c r="P135" t="str">
        <f t="shared" si="22"/>
        <v/>
      </c>
      <c r="Q135" s="3"/>
      <c r="R135" s="3" t="str">
        <f t="shared" si="23"/>
        <v/>
      </c>
      <c r="U135" t="str">
        <f t="shared" ca="1" si="24"/>
        <v>Sem data</v>
      </c>
      <c r="X135" s="2">
        <v>51482</v>
      </c>
    </row>
    <row r="136" spans="2:24">
      <c r="B136" t="str">
        <f>_xlfn.XLOOKUP(TabelaAtivos[[#This Row],[Ambiente]],TabelaAmbientes[Ambiente],TabelaAmbientes[Cod_ambiente],"",0,1)</f>
        <v/>
      </c>
      <c r="D136" t="str">
        <f>_xlfn.XLOOKUP(TabelaAtivos[[#This Row],[Ambiente]],TabelaAmbientes[Ambiente],TabelaAmbientes[Zona],"",0,1)</f>
        <v/>
      </c>
      <c r="M136" s="2"/>
      <c r="N136" s="2" t="str">
        <f t="shared" si="20"/>
        <v/>
      </c>
      <c r="O136" t="str">
        <f t="shared" si="21"/>
        <v/>
      </c>
      <c r="P136" t="str">
        <f t="shared" si="22"/>
        <v/>
      </c>
      <c r="Q136" s="3"/>
      <c r="R136" s="3" t="str">
        <f t="shared" si="23"/>
        <v/>
      </c>
      <c r="U136" t="str">
        <f t="shared" ca="1" si="24"/>
        <v>Sem data</v>
      </c>
      <c r="X136" s="2">
        <v>51482</v>
      </c>
    </row>
    <row r="137" spans="2:24">
      <c r="B137" t="str">
        <f>_xlfn.XLOOKUP(TabelaAtivos[[#This Row],[Ambiente]],TabelaAmbientes[Ambiente],TabelaAmbientes[Cod_ambiente],"",0,1)</f>
        <v/>
      </c>
      <c r="D137" t="str">
        <f>_xlfn.XLOOKUP(TabelaAtivos[[#This Row],[Ambiente]],TabelaAmbientes[Ambiente],TabelaAmbientes[Zona],"",0,1)</f>
        <v/>
      </c>
      <c r="M137" s="2"/>
      <c r="N137" s="2" t="str">
        <f t="shared" si="20"/>
        <v/>
      </c>
      <c r="O137" t="str">
        <f t="shared" si="21"/>
        <v/>
      </c>
      <c r="P137" t="str">
        <f t="shared" si="22"/>
        <v/>
      </c>
      <c r="Q137" s="3"/>
      <c r="R137" s="3" t="str">
        <f t="shared" si="23"/>
        <v/>
      </c>
      <c r="U137" t="str">
        <f t="shared" ca="1" si="24"/>
        <v>Sem data</v>
      </c>
      <c r="X137" s="2">
        <v>51482</v>
      </c>
    </row>
    <row r="138" spans="2:24">
      <c r="B138" t="str">
        <f>_xlfn.XLOOKUP(TabelaAtivos[[#This Row],[Ambiente]],TabelaAmbientes[Ambiente],TabelaAmbientes[Cod_ambiente],"",0,1)</f>
        <v/>
      </c>
      <c r="D138" t="str">
        <f>_xlfn.XLOOKUP(TabelaAtivos[[#This Row],[Ambiente]],TabelaAmbientes[Ambiente],TabelaAmbientes[Zona],"",0,1)</f>
        <v/>
      </c>
      <c r="M138" s="2"/>
      <c r="N138" s="2" t="str">
        <f t="shared" si="20"/>
        <v/>
      </c>
      <c r="O138" t="str">
        <f t="shared" si="21"/>
        <v/>
      </c>
      <c r="P138" t="str">
        <f t="shared" si="22"/>
        <v/>
      </c>
      <c r="Q138" s="3"/>
      <c r="R138" s="3" t="str">
        <f t="shared" si="23"/>
        <v/>
      </c>
      <c r="U138" t="str">
        <f t="shared" ca="1" si="24"/>
        <v>Sem data</v>
      </c>
      <c r="X138" s="2">
        <v>51482</v>
      </c>
    </row>
    <row r="139" spans="2:24">
      <c r="B139" t="str">
        <f>_xlfn.XLOOKUP(TabelaAtivos[[#This Row],[Ambiente]],TabelaAmbientes[Ambiente],TabelaAmbientes[Cod_ambiente],"",0,1)</f>
        <v/>
      </c>
      <c r="D139" t="str">
        <f>_xlfn.XLOOKUP(TabelaAtivos[[#This Row],[Ambiente]],TabelaAmbientes[Ambiente],TabelaAmbientes[Zona],"",0,1)</f>
        <v/>
      </c>
      <c r="M139" s="2"/>
      <c r="N139" s="2" t="str">
        <f t="shared" si="20"/>
        <v/>
      </c>
      <c r="O139" t="str">
        <f t="shared" si="21"/>
        <v/>
      </c>
      <c r="P139" t="str">
        <f t="shared" si="22"/>
        <v/>
      </c>
      <c r="Q139" s="3"/>
      <c r="R139" s="3" t="str">
        <f t="shared" si="23"/>
        <v/>
      </c>
      <c r="U139" t="str">
        <f t="shared" ca="1" si="24"/>
        <v>Sem data</v>
      </c>
      <c r="X139" s="2">
        <v>51482</v>
      </c>
    </row>
    <row r="140" spans="2:24">
      <c r="B140" t="str">
        <f>_xlfn.XLOOKUP(TabelaAtivos[[#This Row],[Ambiente]],TabelaAmbientes[Ambiente],TabelaAmbientes[Cod_ambiente],"",0,1)</f>
        <v/>
      </c>
      <c r="D140" t="str">
        <f>_xlfn.XLOOKUP(TabelaAtivos[[#This Row],[Ambiente]],TabelaAmbientes[Ambiente],TabelaAmbientes[Zona],"",0,1)</f>
        <v/>
      </c>
      <c r="M140" s="2"/>
      <c r="N140" s="2" t="str">
        <f t="shared" si="20"/>
        <v/>
      </c>
      <c r="O140" t="str">
        <f t="shared" si="21"/>
        <v/>
      </c>
      <c r="P140" t="str">
        <f t="shared" si="22"/>
        <v/>
      </c>
      <c r="Q140" s="3"/>
      <c r="R140" s="3" t="str">
        <f t="shared" si="23"/>
        <v/>
      </c>
      <c r="U140" t="str">
        <f t="shared" ca="1" si="24"/>
        <v>Sem data</v>
      </c>
      <c r="X140" s="2">
        <v>51482</v>
      </c>
    </row>
    <row r="141" spans="2:24">
      <c r="B141" t="str">
        <f>_xlfn.XLOOKUP(TabelaAtivos[[#This Row],[Ambiente]],TabelaAmbientes[Ambiente],TabelaAmbientes[Cod_ambiente],"",0,1)</f>
        <v/>
      </c>
      <c r="D141" t="str">
        <f>_xlfn.XLOOKUP(TabelaAtivos[[#This Row],[Ambiente]],TabelaAmbientes[Ambiente],TabelaAmbientes[Zona],"",0,1)</f>
        <v/>
      </c>
      <c r="M141" s="2"/>
      <c r="N141" s="2" t="str">
        <f t="shared" si="20"/>
        <v/>
      </c>
      <c r="O141" t="str">
        <f t="shared" si="21"/>
        <v/>
      </c>
      <c r="P141" t="str">
        <f t="shared" si="22"/>
        <v/>
      </c>
      <c r="Q141" s="3"/>
      <c r="R141" s="3" t="str">
        <f t="shared" si="23"/>
        <v/>
      </c>
      <c r="U141" t="str">
        <f t="shared" ca="1" si="24"/>
        <v>Sem data</v>
      </c>
      <c r="X141" s="2">
        <v>51482</v>
      </c>
    </row>
    <row r="142" spans="2:24">
      <c r="B142" t="str">
        <f>_xlfn.XLOOKUP(TabelaAtivos[[#This Row],[Ambiente]],TabelaAmbientes[Ambiente],TabelaAmbientes[Cod_ambiente],"",0,1)</f>
        <v/>
      </c>
      <c r="D142" t="str">
        <f>_xlfn.XLOOKUP(TabelaAtivos[[#This Row],[Ambiente]],TabelaAmbientes[Ambiente],TabelaAmbientes[Zona],"",0,1)</f>
        <v/>
      </c>
      <c r="M142" s="2"/>
      <c r="N142" s="2" t="str">
        <f t="shared" si="20"/>
        <v/>
      </c>
      <c r="O142" t="str">
        <f t="shared" si="21"/>
        <v/>
      </c>
      <c r="P142" t="str">
        <f t="shared" si="22"/>
        <v/>
      </c>
      <c r="Q142" s="3"/>
      <c r="R142" s="3" t="str">
        <f t="shared" si="23"/>
        <v/>
      </c>
      <c r="U142" t="str">
        <f t="shared" ca="1" si="24"/>
        <v>Sem data</v>
      </c>
      <c r="X142" s="2">
        <v>51482</v>
      </c>
    </row>
    <row r="143" spans="2:24">
      <c r="B143" t="str">
        <f>_xlfn.XLOOKUP(TabelaAtivos[[#This Row],[Ambiente]],TabelaAmbientes[Ambiente],TabelaAmbientes[Cod_ambiente],"",0,1)</f>
        <v/>
      </c>
      <c r="D143" t="str">
        <f>_xlfn.XLOOKUP(TabelaAtivos[[#This Row],[Ambiente]],TabelaAmbientes[Ambiente],TabelaAmbientes[Zona],"",0,1)</f>
        <v/>
      </c>
      <c r="M143" s="2"/>
      <c r="N143" s="2" t="str">
        <f t="shared" si="20"/>
        <v/>
      </c>
      <c r="O143" t="str">
        <f t="shared" si="21"/>
        <v/>
      </c>
      <c r="P143" t="str">
        <f t="shared" si="22"/>
        <v/>
      </c>
      <c r="Q143" s="3"/>
      <c r="R143" s="3" t="str">
        <f t="shared" si="23"/>
        <v/>
      </c>
      <c r="U143" t="str">
        <f t="shared" ca="1" si="24"/>
        <v>Sem data</v>
      </c>
      <c r="X143" s="2">
        <v>51482</v>
      </c>
    </row>
    <row r="144" spans="2:24">
      <c r="B144" t="str">
        <f>_xlfn.XLOOKUP(TabelaAtivos[[#This Row],[Ambiente]],TabelaAmbientes[Ambiente],TabelaAmbientes[Cod_ambiente],"",0,1)</f>
        <v/>
      </c>
      <c r="D144" t="str">
        <f>_xlfn.XLOOKUP(TabelaAtivos[[#This Row],[Ambiente]],TabelaAmbientes[Ambiente],TabelaAmbientes[Zona],"",0,1)</f>
        <v/>
      </c>
      <c r="M144" s="2"/>
      <c r="N144" s="2" t="str">
        <f t="shared" si="20"/>
        <v/>
      </c>
      <c r="O144" t="str">
        <f t="shared" si="21"/>
        <v/>
      </c>
      <c r="P144" t="str">
        <f t="shared" si="22"/>
        <v/>
      </c>
      <c r="Q144" s="3"/>
      <c r="R144" s="3" t="str">
        <f t="shared" si="23"/>
        <v/>
      </c>
      <c r="U144" t="str">
        <f t="shared" ca="1" si="24"/>
        <v>Sem data</v>
      </c>
      <c r="X144" s="2">
        <v>51482</v>
      </c>
    </row>
    <row r="145" spans="2:24">
      <c r="B145" t="str">
        <f>_xlfn.XLOOKUP(TabelaAtivos[[#This Row],[Ambiente]],TabelaAmbientes[Ambiente],TabelaAmbientes[Cod_ambiente],"",0,1)</f>
        <v/>
      </c>
      <c r="D145" t="str">
        <f>_xlfn.XLOOKUP(TabelaAtivos[[#This Row],[Ambiente]],TabelaAmbientes[Ambiente],TabelaAmbientes[Zona],"",0,1)</f>
        <v/>
      </c>
      <c r="M145" s="2"/>
      <c r="N145" s="2" t="str">
        <f t="shared" si="20"/>
        <v/>
      </c>
      <c r="O145" t="str">
        <f t="shared" si="21"/>
        <v/>
      </c>
      <c r="P145" t="str">
        <f t="shared" si="22"/>
        <v/>
      </c>
      <c r="Q145" s="3"/>
      <c r="R145" s="3" t="str">
        <f t="shared" si="23"/>
        <v/>
      </c>
      <c r="U145" t="str">
        <f t="shared" ca="1" si="24"/>
        <v>Sem data</v>
      </c>
      <c r="X145" s="2">
        <v>51482</v>
      </c>
    </row>
    <row r="146" spans="2:24">
      <c r="B146" t="str">
        <f>_xlfn.XLOOKUP(TabelaAtivos[[#This Row],[Ambiente]],TabelaAmbientes[Ambiente],TabelaAmbientes[Cod_ambiente],"",0,1)</f>
        <v/>
      </c>
      <c r="D146" t="str">
        <f>_xlfn.XLOOKUP(TabelaAtivos[[#This Row],[Ambiente]],TabelaAmbientes[Ambiente],TabelaAmbientes[Zona],"",0,1)</f>
        <v/>
      </c>
      <c r="M146" s="2"/>
      <c r="N146" s="2" t="str">
        <f t="shared" si="20"/>
        <v/>
      </c>
      <c r="O146" t="str">
        <f t="shared" si="21"/>
        <v/>
      </c>
      <c r="P146" t="str">
        <f t="shared" si="22"/>
        <v/>
      </c>
      <c r="Q146" s="3"/>
      <c r="R146" s="3" t="str">
        <f t="shared" si="23"/>
        <v/>
      </c>
      <c r="U146" t="str">
        <f t="shared" ca="1" si="24"/>
        <v>Sem data</v>
      </c>
      <c r="X146" s="2">
        <v>51482</v>
      </c>
    </row>
    <row r="147" spans="2:24">
      <c r="B147" t="str">
        <f>_xlfn.XLOOKUP(TabelaAtivos[[#This Row],[Ambiente]],TabelaAmbientes[Ambiente],TabelaAmbientes[Cod_ambiente],"",0,1)</f>
        <v/>
      </c>
      <c r="D147" t="str">
        <f>_xlfn.XLOOKUP(TabelaAtivos[[#This Row],[Ambiente]],TabelaAmbientes[Ambiente],TabelaAmbientes[Zona],"",0,1)</f>
        <v/>
      </c>
      <c r="M147" s="2"/>
      <c r="N147" s="2" t="str">
        <f t="shared" si="20"/>
        <v/>
      </c>
      <c r="O147" t="str">
        <f t="shared" si="21"/>
        <v/>
      </c>
      <c r="P147" t="str">
        <f t="shared" si="22"/>
        <v/>
      </c>
      <c r="Q147" s="3"/>
      <c r="R147" s="3" t="str">
        <f t="shared" si="23"/>
        <v/>
      </c>
      <c r="U147" t="str">
        <f t="shared" ca="1" si="24"/>
        <v>Sem data</v>
      </c>
      <c r="X147" s="2">
        <v>51482</v>
      </c>
    </row>
    <row r="148" spans="2:24">
      <c r="B148" t="str">
        <f>_xlfn.XLOOKUP(TabelaAtivos[[#This Row],[Ambiente]],TabelaAmbientes[Ambiente],TabelaAmbientes[Cod_ambiente],"",0,1)</f>
        <v/>
      </c>
      <c r="D148" t="str">
        <f>_xlfn.XLOOKUP(TabelaAtivos[[#This Row],[Ambiente]],TabelaAmbientes[Ambiente],TabelaAmbientes[Zona],"",0,1)</f>
        <v/>
      </c>
      <c r="M148" s="2"/>
      <c r="N148" s="2" t="str">
        <f t="shared" si="20"/>
        <v/>
      </c>
      <c r="O148" t="str">
        <f t="shared" si="21"/>
        <v/>
      </c>
      <c r="P148" t="str">
        <f t="shared" si="22"/>
        <v/>
      </c>
      <c r="Q148" s="3"/>
      <c r="R148" s="3" t="str">
        <f t="shared" si="23"/>
        <v/>
      </c>
      <c r="U148" t="str">
        <f t="shared" ca="1" si="24"/>
        <v>Sem data</v>
      </c>
      <c r="X148" s="2">
        <v>51482</v>
      </c>
    </row>
    <row r="149" spans="2:24">
      <c r="B149" t="str">
        <f>_xlfn.XLOOKUP(TabelaAtivos[[#This Row],[Ambiente]],TabelaAmbientes[Ambiente],TabelaAmbientes[Cod_ambiente],"",0,1)</f>
        <v/>
      </c>
      <c r="D149" t="str">
        <f>_xlfn.XLOOKUP(TabelaAtivos[[#This Row],[Ambiente]],TabelaAmbientes[Ambiente],TabelaAmbientes[Zona],"",0,1)</f>
        <v/>
      </c>
      <c r="M149" s="2"/>
      <c r="N149" s="2" t="str">
        <f t="shared" si="20"/>
        <v/>
      </c>
      <c r="O149" t="str">
        <f t="shared" si="21"/>
        <v/>
      </c>
      <c r="P149" t="str">
        <f t="shared" si="22"/>
        <v/>
      </c>
      <c r="Q149" s="3"/>
      <c r="R149" s="3" t="str">
        <f t="shared" si="23"/>
        <v/>
      </c>
      <c r="U149" t="str">
        <f t="shared" ca="1" si="24"/>
        <v>Sem data</v>
      </c>
      <c r="X149" s="2">
        <v>51482</v>
      </c>
    </row>
    <row r="150" spans="2:24">
      <c r="B150" t="str">
        <f>_xlfn.XLOOKUP(TabelaAtivos[[#This Row],[Ambiente]],TabelaAmbientes[Ambiente],TabelaAmbientes[Cod_ambiente],"",0,1)</f>
        <v/>
      </c>
      <c r="D150" t="str">
        <f>_xlfn.XLOOKUP(TabelaAtivos[[#This Row],[Ambiente]],TabelaAmbientes[Ambiente],TabelaAmbientes[Zona],"",0,1)</f>
        <v/>
      </c>
      <c r="M150" s="2"/>
      <c r="N150" s="2" t="str">
        <f t="shared" si="20"/>
        <v/>
      </c>
      <c r="O150" t="str">
        <f t="shared" si="21"/>
        <v/>
      </c>
      <c r="P150" t="str">
        <f t="shared" si="22"/>
        <v/>
      </c>
      <c r="Q150" s="3"/>
      <c r="R150" s="3" t="str">
        <f t="shared" si="23"/>
        <v/>
      </c>
      <c r="U150" t="str">
        <f t="shared" ca="1" si="24"/>
        <v>Sem data</v>
      </c>
      <c r="X150" s="2">
        <v>51482</v>
      </c>
    </row>
    <row r="151" spans="2:24">
      <c r="B151" t="str">
        <f>_xlfn.XLOOKUP(TabelaAtivos[[#This Row],[Ambiente]],TabelaAmbientes[Ambiente],TabelaAmbientes[Cod_ambiente],"",0,1)</f>
        <v/>
      </c>
      <c r="D151" t="str">
        <f>_xlfn.XLOOKUP(TabelaAtivos[[#This Row],[Ambiente]],TabelaAmbientes[Ambiente],TabelaAmbientes[Zona],"",0,1)</f>
        <v/>
      </c>
      <c r="M151" s="2"/>
      <c r="N151" s="2" t="str">
        <f t="shared" si="20"/>
        <v/>
      </c>
      <c r="O151" t="str">
        <f t="shared" si="21"/>
        <v/>
      </c>
      <c r="P151" t="str">
        <f t="shared" si="22"/>
        <v/>
      </c>
      <c r="Q151" s="3"/>
      <c r="R151" s="3" t="str">
        <f t="shared" si="23"/>
        <v/>
      </c>
      <c r="U151" t="str">
        <f t="shared" ca="1" si="24"/>
        <v>Sem data</v>
      </c>
      <c r="X151" s="2">
        <v>51482</v>
      </c>
    </row>
    <row r="152" spans="2:24">
      <c r="B152" t="str">
        <f>_xlfn.XLOOKUP(TabelaAtivos[[#This Row],[Ambiente]],TabelaAmbientes[Ambiente],TabelaAmbientes[Cod_ambiente],"",0,1)</f>
        <v/>
      </c>
      <c r="D152" t="str">
        <f>_xlfn.XLOOKUP(TabelaAtivos[[#This Row],[Ambiente]],TabelaAmbientes[Ambiente],TabelaAmbientes[Zona],"",0,1)</f>
        <v/>
      </c>
      <c r="M152" s="2"/>
      <c r="N152" s="2" t="str">
        <f t="shared" si="20"/>
        <v/>
      </c>
      <c r="O152" t="str">
        <f t="shared" si="21"/>
        <v/>
      </c>
      <c r="P152" t="str">
        <f t="shared" si="22"/>
        <v/>
      </c>
      <c r="Q152" s="3"/>
      <c r="R152" s="3" t="str">
        <f t="shared" si="23"/>
        <v/>
      </c>
      <c r="U152" t="str">
        <f t="shared" ca="1" si="24"/>
        <v>Sem data</v>
      </c>
      <c r="X152" s="2">
        <v>51482</v>
      </c>
    </row>
    <row r="153" spans="2:24">
      <c r="B153" t="str">
        <f>_xlfn.XLOOKUP(TabelaAtivos[[#This Row],[Ambiente]],TabelaAmbientes[Ambiente],TabelaAmbientes[Cod_ambiente],"",0,1)</f>
        <v/>
      </c>
      <c r="D153" t="str">
        <f>_xlfn.XLOOKUP(TabelaAtivos[[#This Row],[Ambiente]],TabelaAmbientes[Ambiente],TabelaAmbientes[Zona],"",0,1)</f>
        <v/>
      </c>
      <c r="M153" s="2"/>
      <c r="N153" s="2" t="str">
        <f t="shared" si="20"/>
        <v/>
      </c>
      <c r="O153" t="str">
        <f t="shared" si="21"/>
        <v/>
      </c>
      <c r="P153" t="str">
        <f t="shared" si="22"/>
        <v/>
      </c>
      <c r="Q153" s="3"/>
      <c r="R153" s="3" t="str">
        <f t="shared" si="23"/>
        <v/>
      </c>
      <c r="U153" t="str">
        <f t="shared" ca="1" si="24"/>
        <v>Sem data</v>
      </c>
      <c r="X153" s="2">
        <v>51482</v>
      </c>
    </row>
    <row r="154" spans="2:24">
      <c r="B154" t="str">
        <f>_xlfn.XLOOKUP(TabelaAtivos[[#This Row],[Ambiente]],TabelaAmbientes[Ambiente],TabelaAmbientes[Cod_ambiente],"",0,1)</f>
        <v/>
      </c>
      <c r="D154" t="str">
        <f>_xlfn.XLOOKUP(TabelaAtivos[[#This Row],[Ambiente]],TabelaAmbientes[Ambiente],TabelaAmbientes[Zona],"",0,1)</f>
        <v/>
      </c>
      <c r="M154" s="2"/>
      <c r="N154" s="2" t="str">
        <f t="shared" si="20"/>
        <v/>
      </c>
      <c r="O154" t="str">
        <f t="shared" si="21"/>
        <v/>
      </c>
      <c r="P154" t="str">
        <f t="shared" si="22"/>
        <v/>
      </c>
      <c r="Q154" s="3"/>
      <c r="R154" s="3" t="str">
        <f t="shared" si="23"/>
        <v/>
      </c>
      <c r="U154" t="str">
        <f t="shared" ca="1" si="24"/>
        <v>Sem data</v>
      </c>
      <c r="X154" s="2">
        <v>51482</v>
      </c>
    </row>
    <row r="155" spans="2:24">
      <c r="B155" t="str">
        <f>_xlfn.XLOOKUP(TabelaAtivos[[#This Row],[Ambiente]],TabelaAmbientes[Ambiente],TabelaAmbientes[Cod_ambiente],"",0,1)</f>
        <v/>
      </c>
      <c r="D155" t="str">
        <f>_xlfn.XLOOKUP(TabelaAtivos[[#This Row],[Ambiente]],TabelaAmbientes[Ambiente],TabelaAmbientes[Zona],"",0,1)</f>
        <v/>
      </c>
      <c r="M155" s="2"/>
      <c r="N155" s="2" t="str">
        <f t="shared" si="20"/>
        <v/>
      </c>
      <c r="O155" t="str">
        <f t="shared" si="21"/>
        <v/>
      </c>
      <c r="P155" t="str">
        <f t="shared" si="22"/>
        <v/>
      </c>
      <c r="Q155" s="3"/>
      <c r="R155" s="3" t="str">
        <f t="shared" si="23"/>
        <v/>
      </c>
      <c r="U155" t="str">
        <f t="shared" ca="1" si="24"/>
        <v>Sem data</v>
      </c>
      <c r="X155" s="2">
        <v>51482</v>
      </c>
    </row>
    <row r="156" spans="2:24">
      <c r="B156" t="str">
        <f>_xlfn.XLOOKUP(TabelaAtivos[[#This Row],[Ambiente]],TabelaAmbientes[Ambiente],TabelaAmbientes[Cod_ambiente],"",0,1)</f>
        <v/>
      </c>
      <c r="D156" t="str">
        <f>_xlfn.XLOOKUP(TabelaAtivos[[#This Row],[Ambiente]],TabelaAmbientes[Ambiente],TabelaAmbientes[Zona],"",0,1)</f>
        <v/>
      </c>
      <c r="M156" s="2"/>
      <c r="N156" s="2" t="str">
        <f t="shared" si="20"/>
        <v/>
      </c>
      <c r="O156" t="str">
        <f t="shared" si="21"/>
        <v/>
      </c>
      <c r="P156" t="str">
        <f t="shared" si="22"/>
        <v/>
      </c>
      <c r="Q156" s="3"/>
      <c r="R156" s="3" t="str">
        <f t="shared" si="23"/>
        <v/>
      </c>
      <c r="U156" t="str">
        <f t="shared" ca="1" si="24"/>
        <v>Sem data</v>
      </c>
      <c r="X156" s="2">
        <v>51482</v>
      </c>
    </row>
    <row r="157" spans="2:24">
      <c r="B157" t="str">
        <f>_xlfn.XLOOKUP(TabelaAtivos[[#This Row],[Ambiente]],TabelaAmbientes[Ambiente],TabelaAmbientes[Cod_ambiente],"",0,1)</f>
        <v/>
      </c>
      <c r="D157" t="str">
        <f>_xlfn.XLOOKUP(TabelaAtivos[[#This Row],[Ambiente]],TabelaAmbientes[Ambiente],TabelaAmbientes[Zona],"",0,1)</f>
        <v/>
      </c>
      <c r="M157" s="2"/>
      <c r="N157" s="2" t="str">
        <f t="shared" si="20"/>
        <v/>
      </c>
      <c r="O157" t="str">
        <f t="shared" si="21"/>
        <v/>
      </c>
      <c r="P157" t="str">
        <f t="shared" si="22"/>
        <v/>
      </c>
      <c r="Q157" s="3"/>
      <c r="R157" s="3" t="str">
        <f t="shared" si="23"/>
        <v/>
      </c>
      <c r="U157" t="str">
        <f t="shared" ca="1" si="24"/>
        <v>Sem data</v>
      </c>
      <c r="X157" s="2">
        <v>51482</v>
      </c>
    </row>
    <row r="158" spans="2:24">
      <c r="B158" t="str">
        <f>_xlfn.XLOOKUP(TabelaAtivos[[#This Row],[Ambiente]],TabelaAmbientes[Ambiente],TabelaAmbientes[Cod_ambiente],"",0,1)</f>
        <v/>
      </c>
      <c r="D158" t="str">
        <f>_xlfn.XLOOKUP(TabelaAtivos[[#This Row],[Ambiente]],TabelaAmbientes[Ambiente],TabelaAmbientes[Zona],"",0,1)</f>
        <v/>
      </c>
      <c r="M158" s="2"/>
      <c r="N158" s="2" t="str">
        <f t="shared" si="20"/>
        <v/>
      </c>
      <c r="O158" t="str">
        <f t="shared" si="21"/>
        <v/>
      </c>
      <c r="P158" t="str">
        <f t="shared" si="22"/>
        <v/>
      </c>
      <c r="Q158" s="3"/>
      <c r="R158" s="3" t="str">
        <f t="shared" si="23"/>
        <v/>
      </c>
      <c r="U158" t="str">
        <f t="shared" ca="1" si="24"/>
        <v>Sem data</v>
      </c>
      <c r="X158" s="2">
        <v>51482</v>
      </c>
    </row>
    <row r="159" spans="2:24">
      <c r="B159" t="str">
        <f>_xlfn.XLOOKUP(TabelaAtivos[[#This Row],[Ambiente]],TabelaAmbientes[Ambiente],TabelaAmbientes[Cod_ambiente],"",0,1)</f>
        <v/>
      </c>
      <c r="D159" t="str">
        <f>_xlfn.XLOOKUP(TabelaAtivos[[#This Row],[Ambiente]],TabelaAmbientes[Ambiente],TabelaAmbientes[Zona],"",0,1)</f>
        <v/>
      </c>
      <c r="M159" s="2"/>
      <c r="N159" s="2" t="str">
        <f t="shared" si="20"/>
        <v/>
      </c>
      <c r="O159" t="str">
        <f t="shared" si="21"/>
        <v/>
      </c>
      <c r="P159" t="str">
        <f t="shared" si="22"/>
        <v/>
      </c>
      <c r="Q159" s="3"/>
      <c r="R159" s="3" t="str">
        <f t="shared" si="23"/>
        <v/>
      </c>
      <c r="U159" t="str">
        <f t="shared" ca="1" si="24"/>
        <v>Sem data</v>
      </c>
      <c r="X159" s="2">
        <v>51482</v>
      </c>
    </row>
    <row r="160" spans="2:24">
      <c r="B160" t="str">
        <f>_xlfn.XLOOKUP(TabelaAtivos[[#This Row],[Ambiente]],TabelaAmbientes[Ambiente],TabelaAmbientes[Cod_ambiente],"",0,1)</f>
        <v/>
      </c>
      <c r="D160" t="str">
        <f>_xlfn.XLOOKUP(TabelaAtivos[[#This Row],[Ambiente]],TabelaAmbientes[Ambiente],TabelaAmbientes[Zona],"",0,1)</f>
        <v/>
      </c>
      <c r="M160" s="2"/>
      <c r="N160" s="2" t="str">
        <f t="shared" si="20"/>
        <v/>
      </c>
      <c r="O160" t="str">
        <f t="shared" si="21"/>
        <v/>
      </c>
      <c r="P160" t="str">
        <f t="shared" si="22"/>
        <v/>
      </c>
      <c r="Q160" s="3"/>
      <c r="R160" s="3" t="str">
        <f t="shared" si="23"/>
        <v/>
      </c>
      <c r="U160" t="str">
        <f t="shared" ca="1" si="24"/>
        <v>Sem data</v>
      </c>
      <c r="X160" s="2">
        <v>51482</v>
      </c>
    </row>
    <row r="161" spans="2:24">
      <c r="B161" t="str">
        <f>_xlfn.XLOOKUP(TabelaAtivos[[#This Row],[Ambiente]],TabelaAmbientes[Ambiente],TabelaAmbientes[Cod_ambiente],"",0,1)</f>
        <v/>
      </c>
      <c r="D161" t="str">
        <f>_xlfn.XLOOKUP(TabelaAtivos[[#This Row],[Ambiente]],TabelaAmbientes[Ambiente],TabelaAmbientes[Zona],"",0,1)</f>
        <v/>
      </c>
      <c r="M161" s="2"/>
      <c r="N161" s="2" t="str">
        <f t="shared" si="20"/>
        <v/>
      </c>
      <c r="O161" t="str">
        <f t="shared" si="21"/>
        <v/>
      </c>
      <c r="P161" t="str">
        <f t="shared" si="22"/>
        <v/>
      </c>
      <c r="Q161" s="3"/>
      <c r="R161" s="3" t="str">
        <f t="shared" si="23"/>
        <v/>
      </c>
      <c r="U161" t="str">
        <f t="shared" ca="1" si="24"/>
        <v>Sem data</v>
      </c>
      <c r="X161" s="2">
        <v>51482</v>
      </c>
    </row>
    <row r="162" spans="2:24">
      <c r="B162" t="str">
        <f>_xlfn.XLOOKUP(TabelaAtivos[[#This Row],[Ambiente]],TabelaAmbientes[Ambiente],TabelaAmbientes[Cod_ambiente],"",0,1)</f>
        <v/>
      </c>
      <c r="D162" t="str">
        <f>_xlfn.XLOOKUP(TabelaAtivos[[#This Row],[Ambiente]],TabelaAmbientes[Ambiente],TabelaAmbientes[Zona],"",0,1)</f>
        <v/>
      </c>
      <c r="M162" s="2"/>
      <c r="N162" s="2" t="str">
        <f t="shared" ref="N162:N193" si="25">IF(M162="","",EDATE(M162,L162))</f>
        <v/>
      </c>
      <c r="O162" t="str">
        <f t="shared" ref="O162:O193" si="26">IF(N162="","",YEAR(N162))</f>
        <v/>
      </c>
      <c r="P162" t="str">
        <f t="shared" ref="P162:P193" si="27">IF(N162="","",TEXT(N162,"mmm"))</f>
        <v/>
      </c>
      <c r="Q162" s="3"/>
      <c r="R162" s="3" t="str">
        <f t="shared" ref="R162:R193" si="28">IF(OR(J162="",Q162=""),"",J162*Q162)</f>
        <v/>
      </c>
      <c r="U162" t="str">
        <f t="shared" ref="U162:U193" ca="1" si="29">IF(N162="","Sem data",IF(N162&lt;TODAY(),"Vencido",IF(N162&lt;=TODAY()+30,"Próx. 30 dias",IF(N162&lt;=TODAY()+90,"Próx. 90 dias","Programado"))))</f>
        <v>Sem data</v>
      </c>
      <c r="X162" s="2">
        <v>51482</v>
      </c>
    </row>
    <row r="163" spans="2:24">
      <c r="B163" t="str">
        <f>_xlfn.XLOOKUP(TabelaAtivos[[#This Row],[Ambiente]],TabelaAmbientes[Ambiente],TabelaAmbientes[Cod_ambiente],"",0,1)</f>
        <v/>
      </c>
      <c r="D163" t="str">
        <f>_xlfn.XLOOKUP(TabelaAtivos[[#This Row],[Ambiente]],TabelaAmbientes[Ambiente],TabelaAmbientes[Zona],"",0,1)</f>
        <v/>
      </c>
      <c r="M163" s="2"/>
      <c r="N163" s="2" t="str">
        <f t="shared" si="25"/>
        <v/>
      </c>
      <c r="O163" t="str">
        <f t="shared" si="26"/>
        <v/>
      </c>
      <c r="P163" t="str">
        <f t="shared" si="27"/>
        <v/>
      </c>
      <c r="Q163" s="3"/>
      <c r="R163" s="3" t="str">
        <f t="shared" si="28"/>
        <v/>
      </c>
      <c r="U163" t="str">
        <f t="shared" ca="1" si="29"/>
        <v>Sem data</v>
      </c>
      <c r="X163" s="2">
        <v>51482</v>
      </c>
    </row>
    <row r="164" spans="2:24">
      <c r="B164" t="str">
        <f>_xlfn.XLOOKUP(TabelaAtivos[[#This Row],[Ambiente]],TabelaAmbientes[Ambiente],TabelaAmbientes[Cod_ambiente],"",0,1)</f>
        <v/>
      </c>
      <c r="D164" t="str">
        <f>_xlfn.XLOOKUP(TabelaAtivos[[#This Row],[Ambiente]],TabelaAmbientes[Ambiente],TabelaAmbientes[Zona],"",0,1)</f>
        <v/>
      </c>
      <c r="M164" s="2"/>
      <c r="N164" s="2" t="str">
        <f t="shared" si="25"/>
        <v/>
      </c>
      <c r="O164" t="str">
        <f t="shared" si="26"/>
        <v/>
      </c>
      <c r="P164" t="str">
        <f t="shared" si="27"/>
        <v/>
      </c>
      <c r="Q164" s="3"/>
      <c r="R164" s="3" t="str">
        <f t="shared" si="28"/>
        <v/>
      </c>
      <c r="U164" t="str">
        <f t="shared" ca="1" si="29"/>
        <v>Sem data</v>
      </c>
      <c r="X164" s="2">
        <v>51482</v>
      </c>
    </row>
    <row r="165" spans="2:24">
      <c r="B165" t="str">
        <f>_xlfn.XLOOKUP(TabelaAtivos[[#This Row],[Ambiente]],TabelaAmbientes[Ambiente],TabelaAmbientes[Cod_ambiente],"",0,1)</f>
        <v/>
      </c>
      <c r="D165" t="str">
        <f>_xlfn.XLOOKUP(TabelaAtivos[[#This Row],[Ambiente]],TabelaAmbientes[Ambiente],TabelaAmbientes[Zona],"",0,1)</f>
        <v/>
      </c>
      <c r="M165" s="2"/>
      <c r="N165" s="2" t="str">
        <f t="shared" si="25"/>
        <v/>
      </c>
      <c r="O165" t="str">
        <f t="shared" si="26"/>
        <v/>
      </c>
      <c r="P165" t="str">
        <f t="shared" si="27"/>
        <v/>
      </c>
      <c r="Q165" s="3"/>
      <c r="R165" s="3" t="str">
        <f t="shared" si="28"/>
        <v/>
      </c>
      <c r="U165" t="str">
        <f t="shared" ca="1" si="29"/>
        <v>Sem data</v>
      </c>
      <c r="X165" s="2">
        <v>51482</v>
      </c>
    </row>
    <row r="166" spans="2:24">
      <c r="B166" t="str">
        <f>_xlfn.XLOOKUP(TabelaAtivos[[#This Row],[Ambiente]],TabelaAmbientes[Ambiente],TabelaAmbientes[Cod_ambiente],"",0,1)</f>
        <v/>
      </c>
      <c r="D166" t="str">
        <f>_xlfn.XLOOKUP(TabelaAtivos[[#This Row],[Ambiente]],TabelaAmbientes[Ambiente],TabelaAmbientes[Zona],"",0,1)</f>
        <v/>
      </c>
      <c r="M166" s="2"/>
      <c r="N166" s="2" t="str">
        <f t="shared" si="25"/>
        <v/>
      </c>
      <c r="O166" t="str">
        <f t="shared" si="26"/>
        <v/>
      </c>
      <c r="P166" t="str">
        <f t="shared" si="27"/>
        <v/>
      </c>
      <c r="Q166" s="3"/>
      <c r="R166" s="3" t="str">
        <f t="shared" si="28"/>
        <v/>
      </c>
      <c r="U166" t="str">
        <f t="shared" ca="1" si="29"/>
        <v>Sem data</v>
      </c>
      <c r="X166" s="2">
        <v>51482</v>
      </c>
    </row>
    <row r="167" spans="2:24">
      <c r="B167" t="str">
        <f>_xlfn.XLOOKUP(TabelaAtivos[[#This Row],[Ambiente]],TabelaAmbientes[Ambiente],TabelaAmbientes[Cod_ambiente],"",0,1)</f>
        <v/>
      </c>
      <c r="D167" t="str">
        <f>_xlfn.XLOOKUP(TabelaAtivos[[#This Row],[Ambiente]],TabelaAmbientes[Ambiente],TabelaAmbientes[Zona],"",0,1)</f>
        <v/>
      </c>
      <c r="M167" s="2"/>
      <c r="N167" s="2" t="str">
        <f t="shared" si="25"/>
        <v/>
      </c>
      <c r="O167" t="str">
        <f t="shared" si="26"/>
        <v/>
      </c>
      <c r="P167" t="str">
        <f t="shared" si="27"/>
        <v/>
      </c>
      <c r="Q167" s="3"/>
      <c r="R167" s="3" t="str">
        <f t="shared" si="28"/>
        <v/>
      </c>
      <c r="U167" t="str">
        <f t="shared" ca="1" si="29"/>
        <v>Sem data</v>
      </c>
      <c r="X167" s="2">
        <v>51482</v>
      </c>
    </row>
    <row r="168" spans="2:24">
      <c r="B168" t="str">
        <f>_xlfn.XLOOKUP(TabelaAtivos[[#This Row],[Ambiente]],TabelaAmbientes[Ambiente],TabelaAmbientes[Cod_ambiente],"",0,1)</f>
        <v/>
      </c>
      <c r="D168" t="str">
        <f>_xlfn.XLOOKUP(TabelaAtivos[[#This Row],[Ambiente]],TabelaAmbientes[Ambiente],TabelaAmbientes[Zona],"",0,1)</f>
        <v/>
      </c>
      <c r="M168" s="2"/>
      <c r="N168" s="2" t="str">
        <f t="shared" si="25"/>
        <v/>
      </c>
      <c r="O168" t="str">
        <f t="shared" si="26"/>
        <v/>
      </c>
      <c r="P168" t="str">
        <f t="shared" si="27"/>
        <v/>
      </c>
      <c r="Q168" s="3"/>
      <c r="R168" s="3" t="str">
        <f t="shared" si="28"/>
        <v/>
      </c>
      <c r="U168" t="str">
        <f t="shared" ca="1" si="29"/>
        <v>Sem data</v>
      </c>
      <c r="X168" s="2">
        <v>51482</v>
      </c>
    </row>
    <row r="169" spans="2:24">
      <c r="B169" t="str">
        <f>_xlfn.XLOOKUP(TabelaAtivos[[#This Row],[Ambiente]],TabelaAmbientes[Ambiente],TabelaAmbientes[Cod_ambiente],"",0,1)</f>
        <v/>
      </c>
      <c r="D169" t="str">
        <f>_xlfn.XLOOKUP(TabelaAtivos[[#This Row],[Ambiente]],TabelaAmbientes[Ambiente],TabelaAmbientes[Zona],"",0,1)</f>
        <v/>
      </c>
      <c r="M169" s="2"/>
      <c r="N169" s="2" t="str">
        <f t="shared" si="25"/>
        <v/>
      </c>
      <c r="O169" t="str">
        <f t="shared" si="26"/>
        <v/>
      </c>
      <c r="P169" t="str">
        <f t="shared" si="27"/>
        <v/>
      </c>
      <c r="Q169" s="3"/>
      <c r="R169" s="3" t="str">
        <f t="shared" si="28"/>
        <v/>
      </c>
      <c r="U169" t="str">
        <f t="shared" ca="1" si="29"/>
        <v>Sem data</v>
      </c>
      <c r="X169" s="2">
        <v>51482</v>
      </c>
    </row>
    <row r="170" spans="2:24">
      <c r="B170" t="str">
        <f>_xlfn.XLOOKUP(TabelaAtivos[[#This Row],[Ambiente]],TabelaAmbientes[Ambiente],TabelaAmbientes[Cod_ambiente],"",0,1)</f>
        <v/>
      </c>
      <c r="D170" t="str">
        <f>_xlfn.XLOOKUP(TabelaAtivos[[#This Row],[Ambiente]],TabelaAmbientes[Ambiente],TabelaAmbientes[Zona],"",0,1)</f>
        <v/>
      </c>
      <c r="M170" s="2"/>
      <c r="N170" s="2" t="str">
        <f t="shared" si="25"/>
        <v/>
      </c>
      <c r="O170" t="str">
        <f t="shared" si="26"/>
        <v/>
      </c>
      <c r="P170" t="str">
        <f t="shared" si="27"/>
        <v/>
      </c>
      <c r="Q170" s="3"/>
      <c r="R170" s="3" t="str">
        <f t="shared" si="28"/>
        <v/>
      </c>
      <c r="U170" t="str">
        <f t="shared" ca="1" si="29"/>
        <v>Sem data</v>
      </c>
      <c r="X170" s="2">
        <v>51482</v>
      </c>
    </row>
    <row r="171" spans="2:24">
      <c r="B171" t="str">
        <f>_xlfn.XLOOKUP(TabelaAtivos[[#This Row],[Ambiente]],TabelaAmbientes[Ambiente],TabelaAmbientes[Cod_ambiente],"",0,1)</f>
        <v/>
      </c>
      <c r="D171" t="str">
        <f>_xlfn.XLOOKUP(TabelaAtivos[[#This Row],[Ambiente]],TabelaAmbientes[Ambiente],TabelaAmbientes[Zona],"",0,1)</f>
        <v/>
      </c>
      <c r="M171" s="2"/>
      <c r="N171" s="2" t="str">
        <f t="shared" si="25"/>
        <v/>
      </c>
      <c r="O171" t="str">
        <f t="shared" si="26"/>
        <v/>
      </c>
      <c r="P171" t="str">
        <f t="shared" si="27"/>
        <v/>
      </c>
      <c r="Q171" s="3"/>
      <c r="R171" s="3" t="str">
        <f t="shared" si="28"/>
        <v/>
      </c>
      <c r="U171" t="str">
        <f t="shared" ca="1" si="29"/>
        <v>Sem data</v>
      </c>
      <c r="X171" s="2">
        <v>51482</v>
      </c>
    </row>
    <row r="172" spans="2:24">
      <c r="B172" t="str">
        <f>_xlfn.XLOOKUP(TabelaAtivos[[#This Row],[Ambiente]],TabelaAmbientes[Ambiente],TabelaAmbientes[Cod_ambiente],"",0,1)</f>
        <v/>
      </c>
      <c r="D172" t="str">
        <f>_xlfn.XLOOKUP(TabelaAtivos[[#This Row],[Ambiente]],TabelaAmbientes[Ambiente],TabelaAmbientes[Zona],"",0,1)</f>
        <v/>
      </c>
      <c r="M172" s="2"/>
      <c r="N172" s="2" t="str">
        <f t="shared" si="25"/>
        <v/>
      </c>
      <c r="O172" t="str">
        <f t="shared" si="26"/>
        <v/>
      </c>
      <c r="P172" t="str">
        <f t="shared" si="27"/>
        <v/>
      </c>
      <c r="Q172" s="3"/>
      <c r="R172" s="3" t="str">
        <f t="shared" si="28"/>
        <v/>
      </c>
      <c r="U172" t="str">
        <f t="shared" ca="1" si="29"/>
        <v>Sem data</v>
      </c>
      <c r="X172" s="2">
        <v>51482</v>
      </c>
    </row>
    <row r="173" spans="2:24">
      <c r="B173" t="str">
        <f>_xlfn.XLOOKUP(TabelaAtivos[[#This Row],[Ambiente]],TabelaAmbientes[Ambiente],TabelaAmbientes[Cod_ambiente],"",0,1)</f>
        <v/>
      </c>
      <c r="D173" t="str">
        <f>_xlfn.XLOOKUP(TabelaAtivos[[#This Row],[Ambiente]],TabelaAmbientes[Ambiente],TabelaAmbientes[Zona],"",0,1)</f>
        <v/>
      </c>
      <c r="M173" s="2"/>
      <c r="N173" s="2" t="str">
        <f t="shared" si="25"/>
        <v/>
      </c>
      <c r="O173" t="str">
        <f t="shared" si="26"/>
        <v/>
      </c>
      <c r="P173" t="str">
        <f t="shared" si="27"/>
        <v/>
      </c>
      <c r="Q173" s="3"/>
      <c r="R173" s="3" t="str">
        <f t="shared" si="28"/>
        <v/>
      </c>
      <c r="U173" t="str">
        <f t="shared" ca="1" si="29"/>
        <v>Sem data</v>
      </c>
      <c r="X173" s="2">
        <v>51482</v>
      </c>
    </row>
    <row r="174" spans="2:24">
      <c r="B174" t="str">
        <f>_xlfn.XLOOKUP(TabelaAtivos[[#This Row],[Ambiente]],TabelaAmbientes[Ambiente],TabelaAmbientes[Cod_ambiente],"",0,1)</f>
        <v/>
      </c>
      <c r="D174" t="str">
        <f>_xlfn.XLOOKUP(TabelaAtivos[[#This Row],[Ambiente]],TabelaAmbientes[Ambiente],TabelaAmbientes[Zona],"",0,1)</f>
        <v/>
      </c>
      <c r="M174" s="2"/>
      <c r="N174" s="2" t="str">
        <f t="shared" si="25"/>
        <v/>
      </c>
      <c r="O174" t="str">
        <f t="shared" si="26"/>
        <v/>
      </c>
      <c r="P174" t="str">
        <f t="shared" si="27"/>
        <v/>
      </c>
      <c r="Q174" s="3"/>
      <c r="R174" s="3" t="str">
        <f t="shared" si="28"/>
        <v/>
      </c>
      <c r="U174" t="str">
        <f t="shared" ca="1" si="29"/>
        <v>Sem data</v>
      </c>
      <c r="X174" s="2">
        <v>51482</v>
      </c>
    </row>
    <row r="175" spans="2:24">
      <c r="B175" t="str">
        <f>_xlfn.XLOOKUP(TabelaAtivos[[#This Row],[Ambiente]],TabelaAmbientes[Ambiente],TabelaAmbientes[Cod_ambiente],"",0,1)</f>
        <v/>
      </c>
      <c r="D175" t="str">
        <f>_xlfn.XLOOKUP(TabelaAtivos[[#This Row],[Ambiente]],TabelaAmbientes[Ambiente],TabelaAmbientes[Zona],"",0,1)</f>
        <v/>
      </c>
      <c r="M175" s="2"/>
      <c r="N175" s="2" t="str">
        <f t="shared" si="25"/>
        <v/>
      </c>
      <c r="O175" t="str">
        <f t="shared" si="26"/>
        <v/>
      </c>
      <c r="P175" t="str">
        <f t="shared" si="27"/>
        <v/>
      </c>
      <c r="Q175" s="3"/>
      <c r="R175" s="3" t="str">
        <f t="shared" si="28"/>
        <v/>
      </c>
      <c r="U175" t="str">
        <f t="shared" ca="1" si="29"/>
        <v>Sem data</v>
      </c>
      <c r="X175" s="2">
        <v>51482</v>
      </c>
    </row>
    <row r="176" spans="2:24">
      <c r="B176" t="str">
        <f>_xlfn.XLOOKUP(TabelaAtivos[[#This Row],[Ambiente]],TabelaAmbientes[Ambiente],TabelaAmbientes[Cod_ambiente],"",0,1)</f>
        <v/>
      </c>
      <c r="D176" t="str">
        <f>_xlfn.XLOOKUP(TabelaAtivos[[#This Row],[Ambiente]],TabelaAmbientes[Ambiente],TabelaAmbientes[Zona],"",0,1)</f>
        <v/>
      </c>
      <c r="M176" s="2"/>
      <c r="N176" s="2" t="str">
        <f t="shared" si="25"/>
        <v/>
      </c>
      <c r="O176" t="str">
        <f t="shared" si="26"/>
        <v/>
      </c>
      <c r="P176" t="str">
        <f t="shared" si="27"/>
        <v/>
      </c>
      <c r="Q176" s="3"/>
      <c r="R176" s="3" t="str">
        <f t="shared" si="28"/>
        <v/>
      </c>
      <c r="U176" t="str">
        <f t="shared" ca="1" si="29"/>
        <v>Sem data</v>
      </c>
      <c r="X176" s="2">
        <v>51482</v>
      </c>
    </row>
    <row r="177" spans="2:24">
      <c r="B177" t="str">
        <f>_xlfn.XLOOKUP(TabelaAtivos[[#This Row],[Ambiente]],TabelaAmbientes[Ambiente],TabelaAmbientes[Cod_ambiente],"",0,1)</f>
        <v/>
      </c>
      <c r="D177" t="str">
        <f>_xlfn.XLOOKUP(TabelaAtivos[[#This Row],[Ambiente]],TabelaAmbientes[Ambiente],TabelaAmbientes[Zona],"",0,1)</f>
        <v/>
      </c>
      <c r="M177" s="2"/>
      <c r="N177" s="2" t="str">
        <f t="shared" si="25"/>
        <v/>
      </c>
      <c r="O177" t="str">
        <f t="shared" si="26"/>
        <v/>
      </c>
      <c r="P177" t="str">
        <f t="shared" si="27"/>
        <v/>
      </c>
      <c r="Q177" s="3"/>
      <c r="R177" s="3" t="str">
        <f t="shared" si="28"/>
        <v/>
      </c>
      <c r="U177" t="str">
        <f t="shared" ca="1" si="29"/>
        <v>Sem data</v>
      </c>
      <c r="X177" s="2">
        <v>51482</v>
      </c>
    </row>
    <row r="178" spans="2:24">
      <c r="B178" t="str">
        <f>_xlfn.XLOOKUP(TabelaAtivos[[#This Row],[Ambiente]],TabelaAmbientes[Ambiente],TabelaAmbientes[Cod_ambiente],"",0,1)</f>
        <v/>
      </c>
      <c r="D178" t="str">
        <f>_xlfn.XLOOKUP(TabelaAtivos[[#This Row],[Ambiente]],TabelaAmbientes[Ambiente],TabelaAmbientes[Zona],"",0,1)</f>
        <v/>
      </c>
      <c r="M178" s="2"/>
      <c r="N178" s="2" t="str">
        <f t="shared" si="25"/>
        <v/>
      </c>
      <c r="O178" t="str">
        <f t="shared" si="26"/>
        <v/>
      </c>
      <c r="P178" t="str">
        <f t="shared" si="27"/>
        <v/>
      </c>
      <c r="Q178" s="3"/>
      <c r="R178" s="3" t="str">
        <f t="shared" si="28"/>
        <v/>
      </c>
      <c r="U178" t="str">
        <f t="shared" ca="1" si="29"/>
        <v>Sem data</v>
      </c>
      <c r="X178" s="2">
        <v>51482</v>
      </c>
    </row>
    <row r="179" spans="2:24">
      <c r="B179" t="str">
        <f>_xlfn.XLOOKUP(TabelaAtivos[[#This Row],[Ambiente]],TabelaAmbientes[Ambiente],TabelaAmbientes[Cod_ambiente],"",0,1)</f>
        <v/>
      </c>
      <c r="D179" t="str">
        <f>_xlfn.XLOOKUP(TabelaAtivos[[#This Row],[Ambiente]],TabelaAmbientes[Ambiente],TabelaAmbientes[Zona],"",0,1)</f>
        <v/>
      </c>
      <c r="M179" s="2"/>
      <c r="N179" s="2" t="str">
        <f t="shared" si="25"/>
        <v/>
      </c>
      <c r="O179" t="str">
        <f t="shared" si="26"/>
        <v/>
      </c>
      <c r="P179" t="str">
        <f t="shared" si="27"/>
        <v/>
      </c>
      <c r="Q179" s="3"/>
      <c r="R179" s="3" t="str">
        <f t="shared" si="28"/>
        <v/>
      </c>
      <c r="U179" t="str">
        <f t="shared" ca="1" si="29"/>
        <v>Sem data</v>
      </c>
      <c r="X179" s="2">
        <v>51482</v>
      </c>
    </row>
    <row r="180" spans="2:24">
      <c r="B180" t="str">
        <f>_xlfn.XLOOKUP(TabelaAtivos[[#This Row],[Ambiente]],TabelaAmbientes[Ambiente],TabelaAmbientes[Cod_ambiente],"",0,1)</f>
        <v/>
      </c>
      <c r="D180" t="str">
        <f>_xlfn.XLOOKUP(TabelaAtivos[[#This Row],[Ambiente]],TabelaAmbientes[Ambiente],TabelaAmbientes[Zona],"",0,1)</f>
        <v/>
      </c>
      <c r="M180" s="2"/>
      <c r="N180" s="2" t="str">
        <f t="shared" si="25"/>
        <v/>
      </c>
      <c r="O180" t="str">
        <f t="shared" si="26"/>
        <v/>
      </c>
      <c r="P180" t="str">
        <f t="shared" si="27"/>
        <v/>
      </c>
      <c r="Q180" s="3"/>
      <c r="R180" s="3" t="str">
        <f t="shared" si="28"/>
        <v/>
      </c>
      <c r="U180" t="str">
        <f t="shared" ca="1" si="29"/>
        <v>Sem data</v>
      </c>
      <c r="X180" s="2">
        <v>51482</v>
      </c>
    </row>
    <row r="181" spans="2:24">
      <c r="B181" t="str">
        <f>_xlfn.XLOOKUP(TabelaAtivos[[#This Row],[Ambiente]],TabelaAmbientes[Ambiente],TabelaAmbientes[Cod_ambiente],"",0,1)</f>
        <v/>
      </c>
      <c r="D181" t="str">
        <f>_xlfn.XLOOKUP(TabelaAtivos[[#This Row],[Ambiente]],TabelaAmbientes[Ambiente],TabelaAmbientes[Zona],"",0,1)</f>
        <v/>
      </c>
      <c r="M181" s="2"/>
      <c r="N181" s="2" t="str">
        <f t="shared" si="25"/>
        <v/>
      </c>
      <c r="O181" t="str">
        <f t="shared" si="26"/>
        <v/>
      </c>
      <c r="P181" t="str">
        <f t="shared" si="27"/>
        <v/>
      </c>
      <c r="Q181" s="3"/>
      <c r="R181" s="3" t="str">
        <f t="shared" si="28"/>
        <v/>
      </c>
      <c r="U181" t="str">
        <f t="shared" ca="1" si="29"/>
        <v>Sem data</v>
      </c>
      <c r="X181" s="2">
        <v>51482</v>
      </c>
    </row>
    <row r="182" spans="2:24">
      <c r="B182" t="str">
        <f>_xlfn.XLOOKUP(TabelaAtivos[[#This Row],[Ambiente]],TabelaAmbientes[Ambiente],TabelaAmbientes[Cod_ambiente],"",0,1)</f>
        <v/>
      </c>
      <c r="D182" t="str">
        <f>_xlfn.XLOOKUP(TabelaAtivos[[#This Row],[Ambiente]],TabelaAmbientes[Ambiente],TabelaAmbientes[Zona],"",0,1)</f>
        <v/>
      </c>
      <c r="M182" s="2"/>
      <c r="N182" s="2" t="str">
        <f t="shared" si="25"/>
        <v/>
      </c>
      <c r="O182" t="str">
        <f t="shared" si="26"/>
        <v/>
      </c>
      <c r="P182" t="str">
        <f t="shared" si="27"/>
        <v/>
      </c>
      <c r="Q182" s="3"/>
      <c r="R182" s="3" t="str">
        <f t="shared" si="28"/>
        <v/>
      </c>
      <c r="U182" t="str">
        <f t="shared" ca="1" si="29"/>
        <v>Sem data</v>
      </c>
      <c r="X182" s="2">
        <v>51482</v>
      </c>
    </row>
    <row r="183" spans="2:24">
      <c r="B183" t="str">
        <f>_xlfn.XLOOKUP(TabelaAtivos[[#This Row],[Ambiente]],TabelaAmbientes[Ambiente],TabelaAmbientes[Cod_ambiente],"",0,1)</f>
        <v/>
      </c>
      <c r="D183" t="str">
        <f>_xlfn.XLOOKUP(TabelaAtivos[[#This Row],[Ambiente]],TabelaAmbientes[Ambiente],TabelaAmbientes[Zona],"",0,1)</f>
        <v/>
      </c>
      <c r="M183" s="2"/>
      <c r="N183" s="2" t="str">
        <f t="shared" si="25"/>
        <v/>
      </c>
      <c r="O183" t="str">
        <f t="shared" si="26"/>
        <v/>
      </c>
      <c r="P183" t="str">
        <f t="shared" si="27"/>
        <v/>
      </c>
      <c r="Q183" s="3"/>
      <c r="R183" s="3" t="str">
        <f t="shared" si="28"/>
        <v/>
      </c>
      <c r="U183" t="str">
        <f t="shared" ca="1" si="29"/>
        <v>Sem data</v>
      </c>
      <c r="X183" s="2">
        <v>51482</v>
      </c>
    </row>
    <row r="184" spans="2:24">
      <c r="B184" t="str">
        <f>_xlfn.XLOOKUP(TabelaAtivos[[#This Row],[Ambiente]],TabelaAmbientes[Ambiente],TabelaAmbientes[Cod_ambiente],"",0,1)</f>
        <v/>
      </c>
      <c r="D184" t="str">
        <f>_xlfn.XLOOKUP(TabelaAtivos[[#This Row],[Ambiente]],TabelaAmbientes[Ambiente],TabelaAmbientes[Zona],"",0,1)</f>
        <v/>
      </c>
      <c r="M184" s="2"/>
      <c r="N184" s="2" t="str">
        <f t="shared" si="25"/>
        <v/>
      </c>
      <c r="O184" t="str">
        <f t="shared" si="26"/>
        <v/>
      </c>
      <c r="P184" t="str">
        <f t="shared" si="27"/>
        <v/>
      </c>
      <c r="Q184" s="3"/>
      <c r="R184" s="3" t="str">
        <f t="shared" si="28"/>
        <v/>
      </c>
      <c r="U184" t="str">
        <f t="shared" ca="1" si="29"/>
        <v>Sem data</v>
      </c>
      <c r="X184" s="2">
        <v>51482</v>
      </c>
    </row>
    <row r="185" spans="2:24">
      <c r="B185" t="str">
        <f>_xlfn.XLOOKUP(TabelaAtivos[[#This Row],[Ambiente]],TabelaAmbientes[Ambiente],TabelaAmbientes[Cod_ambiente],"",0,1)</f>
        <v/>
      </c>
      <c r="D185" t="str">
        <f>_xlfn.XLOOKUP(TabelaAtivos[[#This Row],[Ambiente]],TabelaAmbientes[Ambiente],TabelaAmbientes[Zona],"",0,1)</f>
        <v/>
      </c>
      <c r="M185" s="2"/>
      <c r="N185" s="2" t="str">
        <f t="shared" si="25"/>
        <v/>
      </c>
      <c r="O185" t="str">
        <f t="shared" si="26"/>
        <v/>
      </c>
      <c r="P185" t="str">
        <f t="shared" si="27"/>
        <v/>
      </c>
      <c r="Q185" s="3"/>
      <c r="R185" s="3" t="str">
        <f t="shared" si="28"/>
        <v/>
      </c>
      <c r="U185" t="str">
        <f t="shared" ca="1" si="29"/>
        <v>Sem data</v>
      </c>
      <c r="X185" s="2">
        <v>51482</v>
      </c>
    </row>
    <row r="186" spans="2:24">
      <c r="B186" t="str">
        <f>_xlfn.XLOOKUP(TabelaAtivos[[#This Row],[Ambiente]],TabelaAmbientes[Ambiente],TabelaAmbientes[Cod_ambiente],"",0,1)</f>
        <v/>
      </c>
      <c r="D186" t="str">
        <f>_xlfn.XLOOKUP(TabelaAtivos[[#This Row],[Ambiente]],TabelaAmbientes[Ambiente],TabelaAmbientes[Zona],"",0,1)</f>
        <v/>
      </c>
      <c r="M186" s="2"/>
      <c r="N186" s="2" t="str">
        <f t="shared" si="25"/>
        <v/>
      </c>
      <c r="O186" t="str">
        <f t="shared" si="26"/>
        <v/>
      </c>
      <c r="P186" t="str">
        <f t="shared" si="27"/>
        <v/>
      </c>
      <c r="Q186" s="3"/>
      <c r="R186" s="3" t="str">
        <f t="shared" si="28"/>
        <v/>
      </c>
      <c r="U186" t="str">
        <f t="shared" ca="1" si="29"/>
        <v>Sem data</v>
      </c>
      <c r="X186" s="2">
        <v>51482</v>
      </c>
    </row>
    <row r="187" spans="2:24">
      <c r="B187" t="str">
        <f>_xlfn.XLOOKUP(TabelaAtivos[[#This Row],[Ambiente]],TabelaAmbientes[Ambiente],TabelaAmbientes[Cod_ambiente],"",0,1)</f>
        <v/>
      </c>
      <c r="D187" t="str">
        <f>_xlfn.XLOOKUP(TabelaAtivos[[#This Row],[Ambiente]],TabelaAmbientes[Ambiente],TabelaAmbientes[Zona],"",0,1)</f>
        <v/>
      </c>
      <c r="M187" s="2"/>
      <c r="N187" s="2" t="str">
        <f t="shared" si="25"/>
        <v/>
      </c>
      <c r="O187" t="str">
        <f t="shared" si="26"/>
        <v/>
      </c>
      <c r="P187" t="str">
        <f t="shared" si="27"/>
        <v/>
      </c>
      <c r="Q187" s="3"/>
      <c r="R187" s="3" t="str">
        <f t="shared" si="28"/>
        <v/>
      </c>
      <c r="U187" t="str">
        <f t="shared" ca="1" si="29"/>
        <v>Sem data</v>
      </c>
      <c r="X187" s="2">
        <v>51482</v>
      </c>
    </row>
    <row r="188" spans="2:24">
      <c r="B188" t="str">
        <f>_xlfn.XLOOKUP(TabelaAtivos[[#This Row],[Ambiente]],TabelaAmbientes[Ambiente],TabelaAmbientes[Cod_ambiente],"",0,1)</f>
        <v/>
      </c>
      <c r="D188" t="str">
        <f>_xlfn.XLOOKUP(TabelaAtivos[[#This Row],[Ambiente]],TabelaAmbientes[Ambiente],TabelaAmbientes[Zona],"",0,1)</f>
        <v/>
      </c>
      <c r="M188" s="2"/>
      <c r="N188" s="2" t="str">
        <f t="shared" si="25"/>
        <v/>
      </c>
      <c r="O188" t="str">
        <f t="shared" si="26"/>
        <v/>
      </c>
      <c r="P188" t="str">
        <f t="shared" si="27"/>
        <v/>
      </c>
      <c r="Q188" s="3"/>
      <c r="R188" s="3" t="str">
        <f t="shared" si="28"/>
        <v/>
      </c>
      <c r="U188" t="str">
        <f t="shared" ca="1" si="29"/>
        <v>Sem data</v>
      </c>
      <c r="X188" s="2">
        <v>51482</v>
      </c>
    </row>
    <row r="189" spans="2:24">
      <c r="B189" t="str">
        <f>_xlfn.XLOOKUP(TabelaAtivos[[#This Row],[Ambiente]],TabelaAmbientes[Ambiente],TabelaAmbientes[Cod_ambiente],"",0,1)</f>
        <v/>
      </c>
      <c r="D189" t="str">
        <f>_xlfn.XLOOKUP(TabelaAtivos[[#This Row],[Ambiente]],TabelaAmbientes[Ambiente],TabelaAmbientes[Zona],"",0,1)</f>
        <v/>
      </c>
      <c r="M189" s="2"/>
      <c r="N189" s="2" t="str">
        <f t="shared" si="25"/>
        <v/>
      </c>
      <c r="O189" t="str">
        <f t="shared" si="26"/>
        <v/>
      </c>
      <c r="P189" t="str">
        <f t="shared" si="27"/>
        <v/>
      </c>
      <c r="Q189" s="3"/>
      <c r="R189" s="3" t="str">
        <f t="shared" si="28"/>
        <v/>
      </c>
      <c r="U189" t="str">
        <f t="shared" ca="1" si="29"/>
        <v>Sem data</v>
      </c>
      <c r="X189" s="2">
        <v>51482</v>
      </c>
    </row>
    <row r="190" spans="2:24">
      <c r="B190" t="str">
        <f>_xlfn.XLOOKUP(TabelaAtivos[[#This Row],[Ambiente]],TabelaAmbientes[Ambiente],TabelaAmbientes[Cod_ambiente],"",0,1)</f>
        <v/>
      </c>
      <c r="D190" t="str">
        <f>_xlfn.XLOOKUP(TabelaAtivos[[#This Row],[Ambiente]],TabelaAmbientes[Ambiente],TabelaAmbientes[Zona],"",0,1)</f>
        <v/>
      </c>
      <c r="M190" s="2"/>
      <c r="N190" s="2" t="str">
        <f t="shared" si="25"/>
        <v/>
      </c>
      <c r="O190" t="str">
        <f t="shared" si="26"/>
        <v/>
      </c>
      <c r="P190" t="str">
        <f t="shared" si="27"/>
        <v/>
      </c>
      <c r="Q190" s="3"/>
      <c r="R190" s="3" t="str">
        <f t="shared" si="28"/>
        <v/>
      </c>
      <c r="U190" t="str">
        <f t="shared" ca="1" si="29"/>
        <v>Sem data</v>
      </c>
      <c r="X190" s="2">
        <v>51482</v>
      </c>
    </row>
    <row r="191" spans="2:24">
      <c r="B191" t="str">
        <f>_xlfn.XLOOKUP(TabelaAtivos[[#This Row],[Ambiente]],TabelaAmbientes[Ambiente],TabelaAmbientes[Cod_ambiente],"",0,1)</f>
        <v/>
      </c>
      <c r="D191" t="str">
        <f>_xlfn.XLOOKUP(TabelaAtivos[[#This Row],[Ambiente]],TabelaAmbientes[Ambiente],TabelaAmbientes[Zona],"",0,1)</f>
        <v/>
      </c>
      <c r="M191" s="2"/>
      <c r="N191" s="2" t="str">
        <f t="shared" si="25"/>
        <v/>
      </c>
      <c r="O191" t="str">
        <f t="shared" si="26"/>
        <v/>
      </c>
      <c r="P191" t="str">
        <f t="shared" si="27"/>
        <v/>
      </c>
      <c r="Q191" s="3"/>
      <c r="R191" s="3" t="str">
        <f t="shared" si="28"/>
        <v/>
      </c>
      <c r="U191" t="str">
        <f t="shared" ca="1" si="29"/>
        <v>Sem data</v>
      </c>
      <c r="X191" s="2">
        <v>51482</v>
      </c>
    </row>
    <row r="192" spans="2:24">
      <c r="B192" t="str">
        <f>_xlfn.XLOOKUP(TabelaAtivos[[#This Row],[Ambiente]],TabelaAmbientes[Ambiente],TabelaAmbientes[Cod_ambiente],"",0,1)</f>
        <v/>
      </c>
      <c r="D192" t="str">
        <f>_xlfn.XLOOKUP(TabelaAtivos[[#This Row],[Ambiente]],TabelaAmbientes[Ambiente],TabelaAmbientes[Zona],"",0,1)</f>
        <v/>
      </c>
      <c r="M192" s="2"/>
      <c r="N192" s="2" t="str">
        <f t="shared" si="25"/>
        <v/>
      </c>
      <c r="O192" t="str">
        <f t="shared" si="26"/>
        <v/>
      </c>
      <c r="P192" t="str">
        <f t="shared" si="27"/>
        <v/>
      </c>
      <c r="Q192" s="3"/>
      <c r="R192" s="3" t="str">
        <f t="shared" si="28"/>
        <v/>
      </c>
      <c r="U192" t="str">
        <f t="shared" ca="1" si="29"/>
        <v>Sem data</v>
      </c>
      <c r="X192" s="2">
        <v>51482</v>
      </c>
    </row>
    <row r="193" spans="2:24">
      <c r="B193" t="str">
        <f>_xlfn.XLOOKUP(TabelaAtivos[[#This Row],[Ambiente]],TabelaAmbientes[Ambiente],TabelaAmbientes[Cod_ambiente],"",0,1)</f>
        <v/>
      </c>
      <c r="D193" t="str">
        <f>_xlfn.XLOOKUP(TabelaAtivos[[#This Row],[Ambiente]],TabelaAmbientes[Ambiente],TabelaAmbientes[Zona],"",0,1)</f>
        <v/>
      </c>
      <c r="M193" s="2"/>
      <c r="N193" s="2" t="str">
        <f t="shared" si="25"/>
        <v/>
      </c>
      <c r="O193" t="str">
        <f t="shared" si="26"/>
        <v/>
      </c>
      <c r="P193" t="str">
        <f t="shared" si="27"/>
        <v/>
      </c>
      <c r="Q193" s="3"/>
      <c r="R193" s="3" t="str">
        <f t="shared" si="28"/>
        <v/>
      </c>
      <c r="U193" t="str">
        <f t="shared" ca="1" si="29"/>
        <v>Sem data</v>
      </c>
      <c r="X193" s="2">
        <v>51482</v>
      </c>
    </row>
    <row r="194" spans="2:24">
      <c r="B194" t="str">
        <f>_xlfn.XLOOKUP(TabelaAtivos[[#This Row],[Ambiente]],TabelaAmbientes[Ambiente],TabelaAmbientes[Cod_ambiente],"",0,1)</f>
        <v/>
      </c>
      <c r="D194" t="str">
        <f>_xlfn.XLOOKUP(TabelaAtivos[[#This Row],[Ambiente]],TabelaAmbientes[Ambiente],TabelaAmbientes[Zona],"",0,1)</f>
        <v/>
      </c>
      <c r="M194" s="2"/>
      <c r="N194" s="2" t="str">
        <f t="shared" ref="N194:N200" si="30">IF(M194="","",EDATE(M194,L194))</f>
        <v/>
      </c>
      <c r="O194" t="str">
        <f t="shared" ref="O194:O200" si="31">IF(N194="","",YEAR(N194))</f>
        <v/>
      </c>
      <c r="P194" t="str">
        <f t="shared" ref="P194:P200" si="32">IF(N194="","",TEXT(N194,"mmm"))</f>
        <v/>
      </c>
      <c r="Q194" s="3"/>
      <c r="R194" s="3" t="str">
        <f t="shared" ref="R194:R200" si="33">IF(OR(J194="",Q194=""),"",J194*Q194)</f>
        <v/>
      </c>
      <c r="U194" t="str">
        <f t="shared" ref="U194:U200" ca="1" si="34">IF(N194="","Sem data",IF(N194&lt;TODAY(),"Vencido",IF(N194&lt;=TODAY()+30,"Próx. 30 dias",IF(N194&lt;=TODAY()+90,"Próx. 90 dias","Programado"))))</f>
        <v>Sem data</v>
      </c>
      <c r="X194" s="2">
        <v>51482</v>
      </c>
    </row>
    <row r="195" spans="2:24">
      <c r="B195" t="str">
        <f>_xlfn.XLOOKUP(TabelaAtivos[[#This Row],[Ambiente]],TabelaAmbientes[Ambiente],TabelaAmbientes[Cod_ambiente],"",0,1)</f>
        <v/>
      </c>
      <c r="D195" t="str">
        <f>_xlfn.XLOOKUP(TabelaAtivos[[#This Row],[Ambiente]],TabelaAmbientes[Ambiente],TabelaAmbientes[Zona],"",0,1)</f>
        <v/>
      </c>
      <c r="M195" s="2"/>
      <c r="N195" s="2" t="str">
        <f t="shared" si="30"/>
        <v/>
      </c>
      <c r="O195" t="str">
        <f t="shared" si="31"/>
        <v/>
      </c>
      <c r="P195" t="str">
        <f t="shared" si="32"/>
        <v/>
      </c>
      <c r="Q195" s="3"/>
      <c r="R195" s="3" t="str">
        <f t="shared" si="33"/>
        <v/>
      </c>
      <c r="U195" t="str">
        <f t="shared" ca="1" si="34"/>
        <v>Sem data</v>
      </c>
      <c r="X195" s="2">
        <v>51482</v>
      </c>
    </row>
    <row r="196" spans="2:24">
      <c r="B196" t="str">
        <f>_xlfn.XLOOKUP(TabelaAtivos[[#This Row],[Ambiente]],TabelaAmbientes[Ambiente],TabelaAmbientes[Cod_ambiente],"",0,1)</f>
        <v/>
      </c>
      <c r="D196" t="str">
        <f>_xlfn.XLOOKUP(TabelaAtivos[[#This Row],[Ambiente]],TabelaAmbientes[Ambiente],TabelaAmbientes[Zona],"",0,1)</f>
        <v/>
      </c>
      <c r="M196" s="2"/>
      <c r="N196" s="2" t="str">
        <f t="shared" si="30"/>
        <v/>
      </c>
      <c r="O196" t="str">
        <f t="shared" si="31"/>
        <v/>
      </c>
      <c r="P196" t="str">
        <f t="shared" si="32"/>
        <v/>
      </c>
      <c r="Q196" s="3"/>
      <c r="R196" s="3" t="str">
        <f t="shared" si="33"/>
        <v/>
      </c>
      <c r="U196" t="str">
        <f t="shared" ca="1" si="34"/>
        <v>Sem data</v>
      </c>
      <c r="X196" s="2">
        <v>51482</v>
      </c>
    </row>
    <row r="197" spans="2:24">
      <c r="B197" t="str">
        <f>_xlfn.XLOOKUP(TabelaAtivos[[#This Row],[Ambiente]],TabelaAmbientes[Ambiente],TabelaAmbientes[Cod_ambiente],"",0,1)</f>
        <v/>
      </c>
      <c r="D197" t="str">
        <f>_xlfn.XLOOKUP(TabelaAtivos[[#This Row],[Ambiente]],TabelaAmbientes[Ambiente],TabelaAmbientes[Zona],"",0,1)</f>
        <v/>
      </c>
      <c r="M197" s="2"/>
      <c r="N197" s="2" t="str">
        <f t="shared" si="30"/>
        <v/>
      </c>
      <c r="O197" t="str">
        <f t="shared" si="31"/>
        <v/>
      </c>
      <c r="P197" t="str">
        <f t="shared" si="32"/>
        <v/>
      </c>
      <c r="Q197" s="3"/>
      <c r="R197" s="3" t="str">
        <f t="shared" si="33"/>
        <v/>
      </c>
      <c r="U197" t="str">
        <f t="shared" ca="1" si="34"/>
        <v>Sem data</v>
      </c>
      <c r="X197" s="2">
        <v>51482</v>
      </c>
    </row>
    <row r="198" spans="2:24">
      <c r="B198" t="str">
        <f>_xlfn.XLOOKUP(TabelaAtivos[[#This Row],[Ambiente]],TabelaAmbientes[Ambiente],TabelaAmbientes[Cod_ambiente],"",0,1)</f>
        <v/>
      </c>
      <c r="D198" t="str">
        <f>_xlfn.XLOOKUP(TabelaAtivos[[#This Row],[Ambiente]],TabelaAmbientes[Ambiente],TabelaAmbientes[Zona],"",0,1)</f>
        <v/>
      </c>
      <c r="M198" s="2"/>
      <c r="N198" s="2" t="str">
        <f t="shared" si="30"/>
        <v/>
      </c>
      <c r="O198" t="str">
        <f t="shared" si="31"/>
        <v/>
      </c>
      <c r="P198" t="str">
        <f t="shared" si="32"/>
        <v/>
      </c>
      <c r="Q198" s="3"/>
      <c r="R198" s="3" t="str">
        <f t="shared" si="33"/>
        <v/>
      </c>
      <c r="U198" t="str">
        <f t="shared" ca="1" si="34"/>
        <v>Sem data</v>
      </c>
      <c r="X198" s="2">
        <v>51482</v>
      </c>
    </row>
    <row r="199" spans="2:24">
      <c r="B199" t="str">
        <f>_xlfn.XLOOKUP(TabelaAtivos[[#This Row],[Ambiente]],TabelaAmbientes[Ambiente],TabelaAmbientes[Cod_ambiente],"",0,1)</f>
        <v/>
      </c>
      <c r="D199" t="str">
        <f>_xlfn.XLOOKUP(TabelaAtivos[[#This Row],[Ambiente]],TabelaAmbientes[Ambiente],TabelaAmbientes[Zona],"",0,1)</f>
        <v/>
      </c>
      <c r="M199" s="2"/>
      <c r="N199" s="2" t="str">
        <f t="shared" si="30"/>
        <v/>
      </c>
      <c r="O199" t="str">
        <f t="shared" si="31"/>
        <v/>
      </c>
      <c r="P199" t="str">
        <f t="shared" si="32"/>
        <v/>
      </c>
      <c r="Q199" s="3"/>
      <c r="R199" s="3" t="str">
        <f t="shared" si="33"/>
        <v/>
      </c>
      <c r="U199" t="str">
        <f t="shared" ca="1" si="34"/>
        <v>Sem data</v>
      </c>
      <c r="X199" s="2">
        <v>51482</v>
      </c>
    </row>
    <row r="200" spans="2:24">
      <c r="B200" t="str">
        <f>_xlfn.XLOOKUP(TabelaAtivos[[#This Row],[Ambiente]],TabelaAmbientes[Ambiente],TabelaAmbientes[Cod_ambiente],"",0,1)</f>
        <v/>
      </c>
      <c r="D200" t="str">
        <f>_xlfn.XLOOKUP(TabelaAtivos[[#This Row],[Ambiente]],TabelaAmbientes[Ambiente],TabelaAmbientes[Zona],"",0,1)</f>
        <v/>
      </c>
      <c r="M200" s="2"/>
      <c r="N200" s="2" t="str">
        <f t="shared" si="30"/>
        <v/>
      </c>
      <c r="O200" t="str">
        <f t="shared" si="31"/>
        <v/>
      </c>
      <c r="P200" t="str">
        <f t="shared" si="32"/>
        <v/>
      </c>
      <c r="Q200" s="3"/>
      <c r="R200" s="3" t="str">
        <f t="shared" si="33"/>
        <v/>
      </c>
      <c r="U200" t="str">
        <f t="shared" ca="1" si="34"/>
        <v>Sem data</v>
      </c>
      <c r="X200" s="2">
        <v>51482</v>
      </c>
    </row>
  </sheetData>
  <conditionalFormatting sqref="S2:S200">
    <cfRule type="expression" dxfId="7" priority="4">
      <formula>S2="Alta"</formula>
    </cfRule>
    <cfRule type="expression" dxfId="6" priority="5">
      <formula>S2="Crítica"</formula>
    </cfRule>
  </conditionalFormatting>
  <conditionalFormatting sqref="U2:U200">
    <cfRule type="expression" dxfId="5" priority="1">
      <formula>U2="Vencido"</formula>
    </cfRule>
    <cfRule type="expression" dxfId="4" priority="2">
      <formula>U2="Próx. 30 dias"</formula>
    </cfRule>
    <cfRule type="expression" dxfId="3" priority="3">
      <formula>U2="Próx. 90 dias"</formula>
    </cfRule>
  </conditionalFormatting>
  <dataValidations disablePrompts="1" count="1">
    <dataValidation type="list" allowBlank="1" showInputMessage="1" showErrorMessage="1" sqref="F2:G200" xr:uid="{9D5FD545-4770-409A-84C3-EE31B1F4B2B4}">
      <formula1>Sub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xr:uid="{00000000-0002-0000-0100-000000000000}">
          <x14:formula1>
            <xm:f>Listas!$A$2:$A$5</xm:f>
          </x14:formula1>
          <xm:sqref>S2:S200</xm:sqref>
        </x14:dataValidation>
        <x14:dataValidation type="list" xr:uid="{00000000-0002-0000-0100-000001000000}">
          <x14:formula1>
            <xm:f>Listas!$C$2:$C$5</xm:f>
          </x14:formula1>
          <xm:sqref>T2:T200</xm:sqref>
        </x14:dataValidation>
        <x14:dataValidation type="list" xr:uid="{00000000-0002-0000-0100-000002000000}">
          <x14:formula1>
            <xm:f>Listas!$E$2:$E$8</xm:f>
          </x14:formula1>
          <xm:sqref>K2:K200</xm:sqref>
        </x14:dataValidation>
        <x14:dataValidation type="list" allowBlank="1" xr:uid="{00000000-0002-0000-0100-000003000000}">
          <x14:formula1>
            <xm:f>Listas!$G$2:$G$1048576</xm:f>
          </x14:formula1>
          <xm:sqref>E2:E200</xm:sqref>
        </x14:dataValidation>
        <x14:dataValidation type="list" allowBlank="1" showInputMessage="1" showErrorMessage="1" xr:uid="{0B240AE9-B307-48BE-A0AF-8C5225D310F5}">
          <x14:formula1>
            <xm:f>Listas!$I$2:$I$1048576</xm:f>
          </x14:formula1>
          <xm:sqref>C2:C200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B19" sqref="B19"/>
    </sheetView>
  </sheetViews>
  <sheetFormatPr defaultRowHeight="14.25"/>
  <cols>
    <col min="1" max="1" width="14.5" customWidth="1"/>
    <col min="2" max="2" width="17.875" customWidth="1"/>
    <col min="3" max="3" width="9.125" customWidth="1"/>
    <col min="4" max="4" width="12.25" customWidth="1"/>
    <col min="6" max="6" width="13.375" bestFit="1" customWidth="1"/>
  </cols>
  <sheetData>
    <row r="1" spans="1:6" ht="15">
      <c r="A1" s="1" t="s">
        <v>49</v>
      </c>
      <c r="B1" s="1" t="s">
        <v>8</v>
      </c>
      <c r="C1" s="1" t="s">
        <v>50</v>
      </c>
      <c r="D1" s="1" t="s">
        <v>152</v>
      </c>
      <c r="E1" s="4"/>
      <c r="F1" s="1" t="s">
        <v>209</v>
      </c>
    </row>
    <row r="2" spans="1:6">
      <c r="A2" t="s">
        <v>100</v>
      </c>
      <c r="B2" t="s">
        <v>11</v>
      </c>
      <c r="C2" t="s">
        <v>70</v>
      </c>
      <c r="F2" t="s">
        <v>70</v>
      </c>
    </row>
    <row r="3" spans="1:6">
      <c r="A3" t="s">
        <v>153</v>
      </c>
      <c r="B3" t="s">
        <v>14</v>
      </c>
      <c r="C3" t="s">
        <v>70</v>
      </c>
      <c r="F3" t="s">
        <v>114</v>
      </c>
    </row>
    <row r="4" spans="1:6">
      <c r="A4" t="s">
        <v>102</v>
      </c>
      <c r="B4" t="s">
        <v>17</v>
      </c>
      <c r="C4" t="s">
        <v>70</v>
      </c>
      <c r="F4" t="s">
        <v>91</v>
      </c>
    </row>
    <row r="5" spans="1:6">
      <c r="A5" t="s">
        <v>69</v>
      </c>
      <c r="B5" t="s">
        <v>20</v>
      </c>
      <c r="C5" t="s">
        <v>70</v>
      </c>
      <c r="F5" t="s">
        <v>121</v>
      </c>
    </row>
    <row r="6" spans="1:6">
      <c r="A6" t="s">
        <v>104</v>
      </c>
      <c r="B6" t="s">
        <v>22</v>
      </c>
      <c r="C6" t="s">
        <v>70</v>
      </c>
      <c r="F6" t="s">
        <v>224</v>
      </c>
    </row>
    <row r="7" spans="1:6">
      <c r="A7" t="s">
        <v>154</v>
      </c>
      <c r="B7" t="s">
        <v>24</v>
      </c>
      <c r="C7" t="s">
        <v>70</v>
      </c>
    </row>
    <row r="8" spans="1:6">
      <c r="A8" t="s">
        <v>113</v>
      </c>
      <c r="B8" t="s">
        <v>27</v>
      </c>
      <c r="C8" t="s">
        <v>114</v>
      </c>
    </row>
    <row r="9" spans="1:6">
      <c r="A9" t="s">
        <v>155</v>
      </c>
      <c r="B9" t="s">
        <v>30</v>
      </c>
      <c r="C9" t="s">
        <v>114</v>
      </c>
    </row>
    <row r="10" spans="1:6">
      <c r="A10" t="s">
        <v>90</v>
      </c>
      <c r="B10" t="s">
        <v>32</v>
      </c>
      <c r="C10" t="s">
        <v>91</v>
      </c>
    </row>
    <row r="11" spans="1:6">
      <c r="A11" t="s">
        <v>135</v>
      </c>
      <c r="B11" t="s">
        <v>34</v>
      </c>
      <c r="C11" t="s">
        <v>91</v>
      </c>
    </row>
    <row r="12" spans="1:6">
      <c r="A12" t="s">
        <v>156</v>
      </c>
      <c r="B12" t="s">
        <v>36</v>
      </c>
      <c r="C12" t="s">
        <v>91</v>
      </c>
    </row>
    <row r="13" spans="1:6">
      <c r="A13" t="s">
        <v>120</v>
      </c>
      <c r="B13" t="s">
        <v>38</v>
      </c>
      <c r="C13" t="s">
        <v>121</v>
      </c>
    </row>
    <row r="14" spans="1:6">
      <c r="A14" t="s">
        <v>157</v>
      </c>
      <c r="B14" t="s">
        <v>39</v>
      </c>
      <c r="C14" t="s">
        <v>121</v>
      </c>
    </row>
    <row r="15" spans="1:6">
      <c r="A15" t="s">
        <v>158</v>
      </c>
      <c r="B15" t="s">
        <v>40</v>
      </c>
      <c r="C15" t="s">
        <v>121</v>
      </c>
    </row>
    <row r="16" spans="1:6">
      <c r="A16" t="s">
        <v>207</v>
      </c>
      <c r="B16" t="s">
        <v>208</v>
      </c>
      <c r="C16" t="s">
        <v>121</v>
      </c>
    </row>
    <row r="17" spans="1:3">
      <c r="A17" t="s">
        <v>159</v>
      </c>
      <c r="B17" t="s">
        <v>41</v>
      </c>
      <c r="C17" t="s">
        <v>121</v>
      </c>
    </row>
    <row r="18" spans="1:3">
      <c r="A18" t="s">
        <v>225</v>
      </c>
      <c r="B18" t="s">
        <v>223</v>
      </c>
      <c r="C18" t="s">
        <v>224</v>
      </c>
    </row>
    <row r="19" spans="1:3">
      <c r="A19" t="s">
        <v>210</v>
      </c>
    </row>
  </sheetData>
  <dataValidations count="1">
    <dataValidation type="list" allowBlank="1" showInputMessage="1" showErrorMessage="1" sqref="C2:C18" xr:uid="{5465BCC7-7863-4B86-ADF8-8715DE930CFD}">
      <formula1>$F$2:$F$6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8"/>
  <sheetViews>
    <sheetView workbookViewId="0">
      <selection activeCell="F2" sqref="F2"/>
    </sheetView>
  </sheetViews>
  <sheetFormatPr defaultRowHeight="14.25"/>
  <cols>
    <col min="1" max="1" width="13" customWidth="1"/>
    <col min="2" max="2" width="14.25" customWidth="1"/>
    <col min="3" max="3" width="13.625" customWidth="1"/>
  </cols>
  <sheetData>
    <row r="1" spans="1:11" ht="15">
      <c r="A1" s="1" t="s">
        <v>160</v>
      </c>
      <c r="B1" s="1" t="s">
        <v>6</v>
      </c>
      <c r="C1" s="1" t="s">
        <v>51</v>
      </c>
      <c r="D1" s="4"/>
      <c r="E1" s="4"/>
      <c r="F1" s="4"/>
      <c r="G1" s="4"/>
      <c r="H1" s="4"/>
      <c r="I1" s="4"/>
      <c r="J1" s="4"/>
      <c r="K1" s="4"/>
    </row>
    <row r="2" spans="1:11">
      <c r="A2" t="s">
        <v>161</v>
      </c>
      <c r="B2" t="s">
        <v>26</v>
      </c>
      <c r="C2" t="s">
        <v>71</v>
      </c>
      <c r="G2" t="str" cm="1">
        <f t="array" ref="G2:G3">_xlfn._xlws.FILTER(TabelaSistemas[Subsistema],TabelaSistemas[Sistema]=Ativos!E2,"")</f>
        <v>Água fria</v>
      </c>
    </row>
    <row r="3" spans="1:11">
      <c r="A3" t="s">
        <v>161</v>
      </c>
      <c r="B3" t="s">
        <v>26</v>
      </c>
      <c r="C3" t="s">
        <v>162</v>
      </c>
      <c r="G3" t="str">
        <v>Água quente</v>
      </c>
    </row>
    <row r="4" spans="1:11">
      <c r="A4" t="s">
        <v>163</v>
      </c>
      <c r="B4" t="s">
        <v>19</v>
      </c>
      <c r="C4" t="s">
        <v>81</v>
      </c>
    </row>
    <row r="5" spans="1:11">
      <c r="A5" t="s">
        <v>164</v>
      </c>
      <c r="B5" t="s">
        <v>13</v>
      </c>
      <c r="C5" t="s">
        <v>165</v>
      </c>
      <c r="G5" t="str" cm="1">
        <f t="array" ref="G5">_xlfn._xlws.FILTER(TabelaSistemas[Subsistema],TabelaSistemas[Sistema]=Ativos!E5,"")</f>
        <v>Split</v>
      </c>
    </row>
    <row r="6" spans="1:11">
      <c r="A6" t="s">
        <v>166</v>
      </c>
      <c r="B6" t="s">
        <v>16</v>
      </c>
      <c r="C6" t="s">
        <v>106</v>
      </c>
    </row>
    <row r="7" spans="1:11">
      <c r="A7" t="s">
        <v>166</v>
      </c>
      <c r="B7" t="s">
        <v>16</v>
      </c>
      <c r="C7" t="s">
        <v>115</v>
      </c>
      <c r="G7" t="str" cm="1">
        <f t="array" ref="G7">_xlfn._xlws.FILTER(TabelaSistemas[Subsistema],TabelaSistemas[Sistema]=Ativos!E7,"")</f>
        <v>Split</v>
      </c>
    </row>
    <row r="8" spans="1:11">
      <c r="A8" t="s">
        <v>167</v>
      </c>
      <c r="B8" t="s">
        <v>29</v>
      </c>
      <c r="C8" t="s">
        <v>168</v>
      </c>
      <c r="G8" t="str" cm="1">
        <f t="array" ref="G8">_xlfn._xlws.FILTER(TabelaSistemas[Subsistema],TabelaSistemas[Sistema]=Ativos!E8,"")</f>
        <v>Split</v>
      </c>
    </row>
    <row r="9" spans="1:11">
      <c r="A9" t="s">
        <v>169</v>
      </c>
      <c r="B9" t="s">
        <v>10</v>
      </c>
      <c r="C9" t="s">
        <v>92</v>
      </c>
    </row>
    <row r="10" spans="1:11">
      <c r="A10" t="s">
        <v>170</v>
      </c>
      <c r="B10" t="s">
        <v>23</v>
      </c>
      <c r="C10" t="s">
        <v>122</v>
      </c>
    </row>
    <row r="11" spans="1:11">
      <c r="A11" t="s">
        <v>171</v>
      </c>
      <c r="B11" t="s">
        <v>33</v>
      </c>
      <c r="C11" t="s">
        <v>128</v>
      </c>
    </row>
    <row r="12" spans="1:11">
      <c r="A12" t="s">
        <v>171</v>
      </c>
      <c r="B12" t="s">
        <v>33</v>
      </c>
      <c r="C12" t="s">
        <v>172</v>
      </c>
    </row>
    <row r="13" spans="1:11">
      <c r="A13" t="s">
        <v>173</v>
      </c>
      <c r="B13" t="s">
        <v>35</v>
      </c>
      <c r="C13" t="s">
        <v>136</v>
      </c>
    </row>
    <row r="14" spans="1:11">
      <c r="A14" t="s">
        <v>173</v>
      </c>
      <c r="B14" t="s">
        <v>35</v>
      </c>
      <c r="C14" t="s">
        <v>174</v>
      </c>
    </row>
    <row r="15" spans="1:11">
      <c r="A15" t="s">
        <v>175</v>
      </c>
      <c r="B15" t="s">
        <v>21</v>
      </c>
      <c r="C15" t="s">
        <v>176</v>
      </c>
    </row>
    <row r="16" spans="1:11">
      <c r="A16" t="s">
        <v>175</v>
      </c>
      <c r="B16" t="s">
        <v>21</v>
      </c>
      <c r="C16" t="s">
        <v>141</v>
      </c>
    </row>
    <row r="17" spans="1:3">
      <c r="A17" t="s">
        <v>177</v>
      </c>
      <c r="B17" t="s">
        <v>31</v>
      </c>
      <c r="C17" t="s">
        <v>147</v>
      </c>
    </row>
    <row r="18" spans="1:3">
      <c r="A18" t="s">
        <v>178</v>
      </c>
      <c r="B18" t="s">
        <v>37</v>
      </c>
      <c r="C18" t="s">
        <v>179</v>
      </c>
    </row>
  </sheetData>
  <dataValidations count="1">
    <dataValidation type="list" allowBlank="1" showInputMessage="1" showErrorMessage="1" sqref="F2" xr:uid="{1C4A3C88-5006-464F-AB42-D0B0DB077137}">
      <formula1>Sub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4.25"/>
  <cols>
    <col min="1" max="1" width="14.25" customWidth="1"/>
    <col min="2" max="2" width="13.375" customWidth="1"/>
    <col min="3" max="3" width="23" customWidth="1"/>
    <col min="4" max="4" width="21.625" customWidth="1"/>
    <col min="5" max="5" width="19.875" customWidth="1"/>
    <col min="6" max="6" width="16.375" customWidth="1"/>
    <col min="7" max="7" width="21.625" customWidth="1"/>
  </cols>
  <sheetData>
    <row r="1" spans="1:11" ht="30">
      <c r="A1" s="1" t="s">
        <v>6</v>
      </c>
      <c r="B1" s="1" t="s">
        <v>52</v>
      </c>
      <c r="C1" s="1" t="s">
        <v>53</v>
      </c>
      <c r="D1" s="1" t="s">
        <v>180</v>
      </c>
      <c r="E1" s="1" t="s">
        <v>57</v>
      </c>
      <c r="F1" s="1" t="s">
        <v>181</v>
      </c>
      <c r="G1" s="1" t="s">
        <v>182</v>
      </c>
      <c r="H1" s="4"/>
      <c r="I1" s="4"/>
      <c r="J1" s="4"/>
      <c r="K1" s="4"/>
    </row>
    <row r="2" spans="1:11">
      <c r="A2" t="s">
        <v>26</v>
      </c>
      <c r="B2" t="s">
        <v>72</v>
      </c>
      <c r="C2" t="s">
        <v>73</v>
      </c>
      <c r="D2" t="s">
        <v>74</v>
      </c>
      <c r="E2">
        <v>12</v>
      </c>
      <c r="F2">
        <v>150</v>
      </c>
      <c r="G2" t="s">
        <v>78</v>
      </c>
    </row>
    <row r="3" spans="1:11">
      <c r="A3" t="s">
        <v>19</v>
      </c>
      <c r="B3" t="s">
        <v>72</v>
      </c>
      <c r="C3" t="s">
        <v>82</v>
      </c>
      <c r="D3" t="s">
        <v>83</v>
      </c>
      <c r="E3">
        <v>12</v>
      </c>
      <c r="F3">
        <v>80</v>
      </c>
      <c r="G3" t="s">
        <v>78</v>
      </c>
    </row>
    <row r="4" spans="1:11">
      <c r="A4" t="s">
        <v>26</v>
      </c>
      <c r="B4" t="s">
        <v>86</v>
      </c>
      <c r="C4" t="s">
        <v>87</v>
      </c>
      <c r="D4" t="s">
        <v>88</v>
      </c>
      <c r="E4">
        <v>12</v>
      </c>
      <c r="F4">
        <v>150</v>
      </c>
      <c r="G4" t="s">
        <v>78</v>
      </c>
    </row>
    <row r="5" spans="1:11">
      <c r="A5" t="s">
        <v>26</v>
      </c>
      <c r="B5" t="s">
        <v>183</v>
      </c>
      <c r="C5" t="s">
        <v>184</v>
      </c>
      <c r="D5" t="s">
        <v>109</v>
      </c>
      <c r="E5">
        <v>12</v>
      </c>
      <c r="F5">
        <v>120</v>
      </c>
      <c r="G5" t="s">
        <v>78</v>
      </c>
    </row>
    <row r="6" spans="1:11">
      <c r="A6" t="s">
        <v>13</v>
      </c>
      <c r="B6" t="s">
        <v>185</v>
      </c>
      <c r="C6" t="s">
        <v>186</v>
      </c>
      <c r="D6" t="s">
        <v>187</v>
      </c>
      <c r="E6">
        <v>6</v>
      </c>
      <c r="F6">
        <v>80</v>
      </c>
      <c r="G6" t="s">
        <v>78</v>
      </c>
    </row>
    <row r="7" spans="1:11">
      <c r="A7" t="s">
        <v>16</v>
      </c>
      <c r="B7" t="s">
        <v>106</v>
      </c>
      <c r="C7" t="s">
        <v>108</v>
      </c>
      <c r="D7" t="s">
        <v>109</v>
      </c>
      <c r="E7">
        <v>24</v>
      </c>
      <c r="F7">
        <v>250</v>
      </c>
      <c r="G7" t="s">
        <v>110</v>
      </c>
    </row>
    <row r="8" spans="1:11">
      <c r="A8" t="s">
        <v>16</v>
      </c>
      <c r="B8" t="s">
        <v>115</v>
      </c>
      <c r="C8" t="s">
        <v>117</v>
      </c>
      <c r="D8" t="s">
        <v>109</v>
      </c>
      <c r="E8">
        <v>24</v>
      </c>
      <c r="F8">
        <v>100</v>
      </c>
      <c r="G8" t="s">
        <v>110</v>
      </c>
    </row>
    <row r="9" spans="1:11">
      <c r="A9" t="s">
        <v>29</v>
      </c>
      <c r="B9" t="s">
        <v>188</v>
      </c>
      <c r="C9" t="s">
        <v>189</v>
      </c>
      <c r="D9" t="s">
        <v>190</v>
      </c>
      <c r="E9">
        <v>24</v>
      </c>
      <c r="F9">
        <v>120</v>
      </c>
      <c r="G9" t="s">
        <v>110</v>
      </c>
    </row>
    <row r="10" spans="1:11">
      <c r="A10" t="s">
        <v>10</v>
      </c>
      <c r="B10" t="s">
        <v>93</v>
      </c>
      <c r="C10" t="s">
        <v>94</v>
      </c>
      <c r="D10" t="s">
        <v>95</v>
      </c>
      <c r="E10">
        <v>6</v>
      </c>
      <c r="F10">
        <v>180</v>
      </c>
      <c r="G10" t="s">
        <v>98</v>
      </c>
    </row>
    <row r="11" spans="1:11">
      <c r="A11" t="s">
        <v>23</v>
      </c>
      <c r="B11" t="s">
        <v>123</v>
      </c>
      <c r="C11" t="s">
        <v>124</v>
      </c>
      <c r="D11" t="s">
        <v>125</v>
      </c>
      <c r="E11">
        <v>12</v>
      </c>
      <c r="F11">
        <v>180</v>
      </c>
      <c r="G11" t="s">
        <v>126</v>
      </c>
    </row>
    <row r="12" spans="1:11">
      <c r="A12" t="s">
        <v>33</v>
      </c>
      <c r="B12" t="s">
        <v>129</v>
      </c>
      <c r="C12" t="s">
        <v>33</v>
      </c>
      <c r="D12" t="s">
        <v>130</v>
      </c>
      <c r="E12">
        <v>48</v>
      </c>
      <c r="F12">
        <v>2500</v>
      </c>
      <c r="G12" t="s">
        <v>132</v>
      </c>
    </row>
    <row r="13" spans="1:11">
      <c r="A13" t="s">
        <v>35</v>
      </c>
      <c r="B13" t="s">
        <v>136</v>
      </c>
      <c r="C13" t="s">
        <v>137</v>
      </c>
      <c r="D13" t="s">
        <v>138</v>
      </c>
      <c r="E13">
        <v>36</v>
      </c>
      <c r="F13">
        <v>600</v>
      </c>
      <c r="G13" t="s">
        <v>139</v>
      </c>
    </row>
    <row r="14" spans="1:11">
      <c r="A14" t="s">
        <v>21</v>
      </c>
      <c r="B14" t="s">
        <v>191</v>
      </c>
      <c r="C14" t="s">
        <v>143</v>
      </c>
      <c r="D14" t="s">
        <v>144</v>
      </c>
      <c r="E14">
        <v>12</v>
      </c>
      <c r="F14">
        <v>120</v>
      </c>
      <c r="G14" t="s">
        <v>145</v>
      </c>
    </row>
    <row r="15" spans="1:11">
      <c r="A15" t="s">
        <v>31</v>
      </c>
      <c r="B15" t="s">
        <v>147</v>
      </c>
      <c r="C15" t="s">
        <v>149</v>
      </c>
      <c r="D15" t="s">
        <v>150</v>
      </c>
      <c r="E15">
        <v>12</v>
      </c>
      <c r="F15">
        <v>150</v>
      </c>
      <c r="G15" t="s">
        <v>151</v>
      </c>
    </row>
    <row r="16" spans="1:11">
      <c r="A16" t="s">
        <v>37</v>
      </c>
      <c r="B16" t="s">
        <v>192</v>
      </c>
      <c r="C16" t="s">
        <v>193</v>
      </c>
      <c r="D16" t="s">
        <v>194</v>
      </c>
      <c r="E16">
        <v>12</v>
      </c>
      <c r="F16">
        <v>80</v>
      </c>
      <c r="G16" t="s">
        <v>195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0"/>
  <sheetViews>
    <sheetView topLeftCell="F1" workbookViewId="0"/>
  </sheetViews>
  <sheetFormatPr defaultRowHeight="14.25"/>
  <cols>
    <col min="1" max="1" width="18" customWidth="1"/>
    <col min="2" max="4" width="12" customWidth="1"/>
    <col min="5" max="8" width="18" customWidth="1"/>
    <col min="9" max="11" width="16" customWidth="1"/>
  </cols>
  <sheetData>
    <row r="1" spans="1:11" ht="30">
      <c r="A1" s="1" t="s">
        <v>48</v>
      </c>
      <c r="B1" s="1" t="s">
        <v>59</v>
      </c>
      <c r="C1" s="1" t="s">
        <v>28</v>
      </c>
      <c r="D1" s="1" t="s">
        <v>60</v>
      </c>
      <c r="E1" s="1" t="s">
        <v>8</v>
      </c>
      <c r="F1" s="1" t="s">
        <v>6</v>
      </c>
      <c r="G1" s="1" t="s">
        <v>52</v>
      </c>
      <c r="H1" s="1" t="s">
        <v>54</v>
      </c>
      <c r="I1" s="1" t="s">
        <v>63</v>
      </c>
      <c r="J1" s="1" t="s">
        <v>65</v>
      </c>
      <c r="K1" s="1" t="s">
        <v>62</v>
      </c>
    </row>
    <row r="2" spans="1:11">
      <c r="A2" t="str">
        <f>Ativos!A2</f>
        <v>HID-S2B-001</v>
      </c>
      <c r="B2" s="2">
        <f>Ativos!N2</f>
        <v>46032</v>
      </c>
      <c r="C2">
        <f>Ativos!O2</f>
        <v>2026</v>
      </c>
      <c r="D2" t="str">
        <f>Ativos!P2</f>
        <v>jan</v>
      </c>
      <c r="E2" t="str">
        <f>Ativos!C2</f>
        <v>Banheiro suíte 2</v>
      </c>
      <c r="F2" t="str">
        <f>Ativos!E2</f>
        <v>Hidráulico</v>
      </c>
      <c r="G2" t="str">
        <f>Ativos!G2</f>
        <v>Lavatório</v>
      </c>
      <c r="H2" t="str">
        <f>Ativos!I2</f>
        <v>Inspeção / troca de reparo</v>
      </c>
      <c r="I2" t="str">
        <f>Ativos!S2</f>
        <v>Média</v>
      </c>
      <c r="J2" t="str">
        <f ca="1">Ativos!U2</f>
        <v>Vencido</v>
      </c>
      <c r="K2" s="3">
        <f>Ativos!R2</f>
        <v>150</v>
      </c>
    </row>
    <row r="3" spans="1:11">
      <c r="A3" t="str">
        <f>Ativos!A3</f>
        <v>ESG-S2B-001</v>
      </c>
      <c r="B3" s="2">
        <f>Ativos!N3</f>
        <v>46032</v>
      </c>
      <c r="C3">
        <f>Ativos!O3</f>
        <v>2026</v>
      </c>
      <c r="D3" t="str">
        <f>Ativos!P3</f>
        <v>jan</v>
      </c>
      <c r="E3" t="str">
        <f>Ativos!C3</f>
        <v>Banheiro suíte 2</v>
      </c>
      <c r="F3" t="str">
        <f>Ativos!E3</f>
        <v>Esgoto</v>
      </c>
      <c r="G3" t="str">
        <f>Ativos!G3</f>
        <v>Lavatório</v>
      </c>
      <c r="H3" t="str">
        <f>Ativos!I3</f>
        <v>Limpeza / inspeção</v>
      </c>
      <c r="I3" t="str">
        <f>Ativos!S3</f>
        <v>Baixa</v>
      </c>
      <c r="J3" t="str">
        <f ca="1">Ativos!U3</f>
        <v>Vencido</v>
      </c>
      <c r="K3" s="3">
        <f>Ativos!R3</f>
        <v>80</v>
      </c>
    </row>
    <row r="4" spans="1:11">
      <c r="A4" t="str">
        <f>Ativos!A4</f>
        <v>HID-S2B-002</v>
      </c>
      <c r="B4" s="2">
        <f>Ativos!N4</f>
        <v>46032</v>
      </c>
      <c r="C4">
        <f>Ativos!O4</f>
        <v>2026</v>
      </c>
      <c r="D4" t="str">
        <f>Ativos!P4</f>
        <v>jan</v>
      </c>
      <c r="E4" t="str">
        <f>Ativos!C4</f>
        <v>Banheiro suíte 2</v>
      </c>
      <c r="F4" t="str">
        <f>Ativos!E4</f>
        <v>Hidráulico</v>
      </c>
      <c r="G4" t="str">
        <f>Ativos!G4</f>
        <v>Bacia sanitária</v>
      </c>
      <c r="H4" t="str">
        <f>Ativos!I4</f>
        <v>Inspeção / regulagem</v>
      </c>
      <c r="I4" t="str">
        <f>Ativos!S4</f>
        <v>Média</v>
      </c>
      <c r="J4" t="str">
        <f ca="1">Ativos!U4</f>
        <v>Vencido</v>
      </c>
      <c r="K4" s="3">
        <f>Ativos!R4</f>
        <v>150</v>
      </c>
    </row>
    <row r="5" spans="1:11">
      <c r="A5" t="str">
        <f>Ativos!A5</f>
        <v>CLI-SALA-001</v>
      </c>
      <c r="B5" s="2">
        <f>Ativos!N5</f>
        <v>45848</v>
      </c>
      <c r="C5">
        <f>Ativos!O5</f>
        <v>2025</v>
      </c>
      <c r="D5" t="str">
        <f>Ativos!P5</f>
        <v>jul</v>
      </c>
      <c r="E5" t="str">
        <f>Ativos!C5</f>
        <v>Sala</v>
      </c>
      <c r="F5" t="str">
        <f>Ativos!E5</f>
        <v>Climatização</v>
      </c>
      <c r="G5" t="str">
        <f>Ativos!G5</f>
        <v>Ar-condicionado</v>
      </c>
      <c r="H5" t="str">
        <f>Ativos!I5</f>
        <v>Limpeza preventiva</v>
      </c>
      <c r="I5" t="str">
        <f>Ativos!S5</f>
        <v>Alta</v>
      </c>
      <c r="J5" t="str">
        <f ca="1">Ativos!U5</f>
        <v>Vencido</v>
      </c>
      <c r="K5" s="3">
        <f>Ativos!R5</f>
        <v>180</v>
      </c>
    </row>
    <row r="6" spans="1:11">
      <c r="A6" t="str">
        <f>Ativos!A6</f>
        <v>CLI-S1-001</v>
      </c>
      <c r="B6" s="2">
        <f>Ativos!N6</f>
        <v>45848</v>
      </c>
      <c r="C6">
        <f>Ativos!O6</f>
        <v>2025</v>
      </c>
      <c r="D6" t="str">
        <f>Ativos!P6</f>
        <v>jul</v>
      </c>
      <c r="E6" t="str">
        <f>Ativos!C6</f>
        <v>Suíte 1</v>
      </c>
      <c r="F6" t="str">
        <f>Ativos!E6</f>
        <v>Climatização</v>
      </c>
      <c r="G6" t="str">
        <f>Ativos!G6</f>
        <v>Ar-condicionado</v>
      </c>
      <c r="H6" t="str">
        <f>Ativos!I6</f>
        <v>Limpeza preventiva</v>
      </c>
      <c r="I6" t="str">
        <f>Ativos!S6</f>
        <v>Alta</v>
      </c>
      <c r="J6" t="str">
        <f ca="1">Ativos!U6</f>
        <v>Vencido</v>
      </c>
      <c r="K6" s="3">
        <f>Ativos!R6</f>
        <v>180</v>
      </c>
    </row>
    <row r="7" spans="1:11">
      <c r="A7" t="str">
        <f>Ativos!A7</f>
        <v>CLI-S2-001</v>
      </c>
      <c r="B7" s="2">
        <f>Ativos!N7</f>
        <v>45848</v>
      </c>
      <c r="C7">
        <f>Ativos!O7</f>
        <v>2025</v>
      </c>
      <c r="D7" t="str">
        <f>Ativos!P7</f>
        <v>jul</v>
      </c>
      <c r="E7" t="str">
        <f>Ativos!C7</f>
        <v>Suíte 2</v>
      </c>
      <c r="F7" t="str">
        <f>Ativos!E7</f>
        <v>Climatização</v>
      </c>
      <c r="G7" t="str">
        <f>Ativos!G7</f>
        <v>Ar-condicionado</v>
      </c>
      <c r="H7" t="str">
        <f>Ativos!I7</f>
        <v>Limpeza preventiva</v>
      </c>
      <c r="I7" t="str">
        <f>Ativos!S7</f>
        <v>Alta</v>
      </c>
      <c r="J7" t="str">
        <f ca="1">Ativos!U7</f>
        <v>Vencido</v>
      </c>
      <c r="K7" s="3">
        <f>Ativos!R7</f>
        <v>180</v>
      </c>
    </row>
    <row r="8" spans="1:11">
      <c r="A8" t="str">
        <f>Ativos!A8</f>
        <v>CLI-S3-001</v>
      </c>
      <c r="B8" s="2">
        <f>Ativos!N8</f>
        <v>45848</v>
      </c>
      <c r="C8">
        <f>Ativos!O8</f>
        <v>2025</v>
      </c>
      <c r="D8" t="str">
        <f>Ativos!P8</f>
        <v>jul</v>
      </c>
      <c r="E8" t="str">
        <f>Ativos!C8</f>
        <v>Suíte 3</v>
      </c>
      <c r="F8" t="str">
        <f>Ativos!E8</f>
        <v>Climatização</v>
      </c>
      <c r="G8" t="str">
        <f>Ativos!G8</f>
        <v>Ar-condicionado</v>
      </c>
      <c r="H8" t="str">
        <f>Ativos!I8</f>
        <v>Limpeza preventiva</v>
      </c>
      <c r="I8" t="str">
        <f>Ativos!S8</f>
        <v>Alta</v>
      </c>
      <c r="J8" t="str">
        <f ca="1">Ativos!U8</f>
        <v>Vencido</v>
      </c>
      <c r="K8" s="3">
        <f>Ativos!R8</f>
        <v>180</v>
      </c>
    </row>
    <row r="9" spans="1:11">
      <c r="A9" t="str">
        <f>Ativos!A9</f>
        <v>ELE-APT-001</v>
      </c>
      <c r="B9" s="2">
        <f>Ativos!N9</f>
        <v>46397</v>
      </c>
      <c r="C9">
        <f>Ativos!O9</f>
        <v>2027</v>
      </c>
      <c r="D9" t="str">
        <f>Ativos!P9</f>
        <v>jan</v>
      </c>
      <c r="E9" t="str">
        <f>Ativos!C9</f>
        <v>Sala</v>
      </c>
      <c r="F9" t="str">
        <f>Ativos!E9</f>
        <v>Elétrico</v>
      </c>
      <c r="G9" t="str">
        <f>Ativos!G9</f>
        <v>Quadro elétrico</v>
      </c>
      <c r="H9" t="str">
        <f>Ativos!I9</f>
        <v>Inspeção</v>
      </c>
      <c r="I9" t="str">
        <f>Ativos!S9</f>
        <v>Média</v>
      </c>
      <c r="J9" t="str">
        <f ca="1">Ativos!U9</f>
        <v>Programado</v>
      </c>
      <c r="K9" s="3">
        <f>Ativos!R9</f>
        <v>20000</v>
      </c>
    </row>
    <row r="10" spans="1:11">
      <c r="A10" t="str">
        <f>Ativos!A10</f>
        <v>ELE-ESC1-001</v>
      </c>
      <c r="B10" s="2">
        <f>Ativos!N10</f>
        <v>46397</v>
      </c>
      <c r="C10">
        <f>Ativos!O10</f>
        <v>2027</v>
      </c>
      <c r="D10" t="str">
        <f>Ativos!P10</f>
        <v>jan</v>
      </c>
      <c r="E10" t="str">
        <f>Ativos!C10</f>
        <v>Escritório 1</v>
      </c>
      <c r="F10" t="str">
        <f>Ativos!E10</f>
        <v>Elétrico</v>
      </c>
      <c r="G10" t="str">
        <f>Ativos!G10</f>
        <v>Tomadas gerais</v>
      </c>
      <c r="H10" t="str">
        <f>Ativos!I10</f>
        <v>Inspeção</v>
      </c>
      <c r="I10" t="str">
        <f>Ativos!S10</f>
        <v>Baixa</v>
      </c>
      <c r="J10" t="str">
        <f ca="1">Ativos!U10</f>
        <v>Programado</v>
      </c>
      <c r="K10" s="3">
        <f>Ativos!R10</f>
        <v>100</v>
      </c>
    </row>
    <row r="11" spans="1:11">
      <c r="A11" t="str">
        <f>Ativos!A11</f>
        <v>GAS-COPA-001</v>
      </c>
      <c r="B11" s="2">
        <f>Ativos!N11</f>
        <v>46032</v>
      </c>
      <c r="C11">
        <f>Ativos!O11</f>
        <v>2026</v>
      </c>
      <c r="D11" t="str">
        <f>Ativos!P11</f>
        <v>jan</v>
      </c>
      <c r="E11" t="str">
        <f>Ativos!C11</f>
        <v>Copa/cozinha</v>
      </c>
      <c r="F11" t="str">
        <f>Ativos!E11</f>
        <v>Gás</v>
      </c>
      <c r="G11" t="str">
        <f>Ativos!G11</f>
        <v>Ponto de gás</v>
      </c>
      <c r="H11" t="str">
        <f>Ativos!I11</f>
        <v>Inspeção / troca preventiva</v>
      </c>
      <c r="I11" t="str">
        <f>Ativos!S11</f>
        <v>Alta</v>
      </c>
      <c r="J11" t="str">
        <f ca="1">Ativos!U11</f>
        <v>Vencido</v>
      </c>
      <c r="K11" s="3">
        <f>Ativos!R11</f>
        <v>180</v>
      </c>
    </row>
    <row r="12" spans="1:11">
      <c r="A12" t="str">
        <f>Ativos!A12</f>
        <v>PIN-SALA-001</v>
      </c>
      <c r="B12" s="2">
        <f>Ativos!N12</f>
        <v>46762</v>
      </c>
      <c r="C12">
        <f>Ativos!O12</f>
        <v>2028</v>
      </c>
      <c r="D12" t="str">
        <f>Ativos!P12</f>
        <v>jan</v>
      </c>
      <c r="E12" t="str">
        <f>Ativos!C12</f>
        <v>Sala</v>
      </c>
      <c r="F12" t="str">
        <f>Ativos!E12</f>
        <v>Pintura</v>
      </c>
      <c r="G12" t="str">
        <f>Ativos!G12</f>
        <v>Paredes internas</v>
      </c>
      <c r="H12" t="str">
        <f>Ativos!I12</f>
        <v>Repintura</v>
      </c>
      <c r="I12" t="str">
        <f>Ativos!S12</f>
        <v>Média</v>
      </c>
      <c r="J12" t="str">
        <f ca="1">Ativos!U12</f>
        <v>Programado</v>
      </c>
      <c r="K12" s="3">
        <f>Ativos!R12</f>
        <v>2500</v>
      </c>
    </row>
    <row r="13" spans="1:11">
      <c r="A13" t="str">
        <f>Ativos!A13</f>
        <v>REV-VAR-001</v>
      </c>
      <c r="B13" s="2">
        <f>Ativos!N13</f>
        <v>46397</v>
      </c>
      <c r="C13">
        <f>Ativos!O13</f>
        <v>2027</v>
      </c>
      <c r="D13" t="str">
        <f>Ativos!P13</f>
        <v>jan</v>
      </c>
      <c r="E13" t="str">
        <f>Ativos!C13</f>
        <v>Varanda</v>
      </c>
      <c r="F13" t="str">
        <f>Ativos!E13</f>
        <v>Revestimentos</v>
      </c>
      <c r="G13" t="str">
        <f>Ativos!G13</f>
        <v>Piso</v>
      </c>
      <c r="H13" t="str">
        <f>Ativos!I13</f>
        <v>Inspeção / recomposição</v>
      </c>
      <c r="I13" t="str">
        <f>Ativos!S13</f>
        <v>Média</v>
      </c>
      <c r="J13" t="str">
        <f ca="1">Ativos!U13</f>
        <v>Programado</v>
      </c>
      <c r="K13" s="3">
        <f>Ativos!R13</f>
        <v>600</v>
      </c>
    </row>
    <row r="14" spans="1:11">
      <c r="A14" t="str">
        <f>Ativos!A14</f>
        <v>ESQ-VAR-001</v>
      </c>
      <c r="B14" s="2">
        <f>Ativos!N14</f>
        <v>46032</v>
      </c>
      <c r="C14">
        <f>Ativos!O14</f>
        <v>2026</v>
      </c>
      <c r="D14" t="str">
        <f>Ativos!P14</f>
        <v>jan</v>
      </c>
      <c r="E14" t="str">
        <f>Ativos!C14</f>
        <v>Varanda</v>
      </c>
      <c r="F14" t="str">
        <f>Ativos!E14</f>
        <v>Esquadrias</v>
      </c>
      <c r="G14" t="str">
        <f>Ativos!G14</f>
        <v>Esquadria da varanda</v>
      </c>
      <c r="H14" t="str">
        <f>Ativos!I14</f>
        <v>Limpeza / regulagem</v>
      </c>
      <c r="I14" t="str">
        <f>Ativos!S14</f>
        <v>Média</v>
      </c>
      <c r="J14" t="str">
        <f ca="1">Ativos!U14</f>
        <v>Vencido</v>
      </c>
      <c r="K14" s="3">
        <f>Ativos!R14</f>
        <v>120</v>
      </c>
    </row>
    <row r="15" spans="1:11">
      <c r="A15" t="str">
        <f>Ativos!A15</f>
        <v>MAR-COPA-001</v>
      </c>
      <c r="B15" s="2">
        <f>Ativos!N15</f>
        <v>46032</v>
      </c>
      <c r="C15">
        <f>Ativos!O15</f>
        <v>2026</v>
      </c>
      <c r="D15" t="str">
        <f>Ativos!P15</f>
        <v>jan</v>
      </c>
      <c r="E15" t="str">
        <f>Ativos!C15</f>
        <v>Copa/cozinha</v>
      </c>
      <c r="F15" t="str">
        <f>Ativos!E15</f>
        <v>Marcenaria</v>
      </c>
      <c r="G15" t="str">
        <f>Ativos!G15</f>
        <v>Armários da cozinha</v>
      </c>
      <c r="H15" t="str">
        <f>Ativos!I15</f>
        <v>Regulagem</v>
      </c>
      <c r="I15" t="str">
        <f>Ativos!S15</f>
        <v>Baixa</v>
      </c>
      <c r="J15" t="str">
        <f ca="1">Ativos!U15</f>
        <v>Vencido</v>
      </c>
      <c r="K15" s="3">
        <f>Ativos!R15</f>
        <v>150</v>
      </c>
    </row>
    <row r="16" spans="1:11">
      <c r="A16">
        <f>Ativos!A16</f>
        <v>0</v>
      </c>
      <c r="B16" s="2">
        <f>Ativos!N16</f>
        <v>47493</v>
      </c>
      <c r="C16">
        <f>Ativos!O16</f>
        <v>2030</v>
      </c>
      <c r="D16" t="str">
        <f>Ativos!P16</f>
        <v>jan</v>
      </c>
      <c r="E16" t="str">
        <f>Ativos!C16</f>
        <v>Externo</v>
      </c>
      <c r="F16" t="str">
        <f>Ativos!E16</f>
        <v>Revestimentos</v>
      </c>
      <c r="G16" t="str">
        <f>Ativos!G16</f>
        <v>fachada</v>
      </c>
      <c r="H16">
        <f>Ativos!I16</f>
        <v>0</v>
      </c>
      <c r="I16">
        <f>Ativos!S16</f>
        <v>0</v>
      </c>
      <c r="J16" t="str">
        <f ca="1">Ativos!U16</f>
        <v>Programado</v>
      </c>
      <c r="K16" s="3">
        <f>Ativos!R16</f>
        <v>50000</v>
      </c>
    </row>
    <row r="17" spans="1:11">
      <c r="A17">
        <f>Ativos!A17</f>
        <v>0</v>
      </c>
      <c r="B17" s="2">
        <f>Ativos!N17</f>
        <v>0</v>
      </c>
      <c r="C17" t="str">
        <f>Ativos!O17</f>
        <v/>
      </c>
      <c r="D17" t="str">
        <f>Ativos!P17</f>
        <v/>
      </c>
      <c r="E17">
        <f>Ativos!C17</f>
        <v>0</v>
      </c>
      <c r="F17">
        <f>Ativos!E17</f>
        <v>0</v>
      </c>
      <c r="G17">
        <f>Ativos!G17</f>
        <v>0</v>
      </c>
      <c r="H17">
        <f>Ativos!I17</f>
        <v>0</v>
      </c>
      <c r="I17">
        <f>Ativos!S17</f>
        <v>0</v>
      </c>
      <c r="J17" t="str">
        <f ca="1">Ativos!U17</f>
        <v>Sem data</v>
      </c>
      <c r="K17" s="3" t="str">
        <f>Ativos!R17</f>
        <v/>
      </c>
    </row>
    <row r="18" spans="1:11">
      <c r="A18">
        <f>Ativos!A18</f>
        <v>0</v>
      </c>
      <c r="B18" s="2" t="str">
        <f>Ativos!N18</f>
        <v/>
      </c>
      <c r="C18" t="str">
        <f>Ativos!O18</f>
        <v/>
      </c>
      <c r="D18" t="str">
        <f>Ativos!P18</f>
        <v/>
      </c>
      <c r="E18">
        <f>Ativos!C18</f>
        <v>0</v>
      </c>
      <c r="F18">
        <f>Ativos!E18</f>
        <v>0</v>
      </c>
      <c r="G18">
        <f>Ativos!G18</f>
        <v>0</v>
      </c>
      <c r="H18">
        <f>Ativos!I18</f>
        <v>0</v>
      </c>
      <c r="I18">
        <f>Ativos!S18</f>
        <v>0</v>
      </c>
      <c r="J18" t="str">
        <f ca="1">Ativos!U18</f>
        <v>Sem data</v>
      </c>
      <c r="K18" s="3" t="str">
        <f>Ativos!R18</f>
        <v/>
      </c>
    </row>
    <row r="19" spans="1:11">
      <c r="A19">
        <f>Ativos!A19</f>
        <v>0</v>
      </c>
      <c r="B19" s="2" t="str">
        <f>Ativos!N19</f>
        <v/>
      </c>
      <c r="C19" t="str">
        <f>Ativos!O19</f>
        <v/>
      </c>
      <c r="D19" t="str">
        <f>Ativos!P19</f>
        <v/>
      </c>
      <c r="E19">
        <f>Ativos!C19</f>
        <v>0</v>
      </c>
      <c r="F19">
        <f>Ativos!E19</f>
        <v>0</v>
      </c>
      <c r="G19">
        <f>Ativos!G19</f>
        <v>0</v>
      </c>
      <c r="H19">
        <f>Ativos!I19</f>
        <v>0</v>
      </c>
      <c r="I19">
        <f>Ativos!S19</f>
        <v>0</v>
      </c>
      <c r="J19" t="str">
        <f ca="1">Ativos!U19</f>
        <v>Sem data</v>
      </c>
      <c r="K19" s="3" t="str">
        <f>Ativos!R19</f>
        <v/>
      </c>
    </row>
    <row r="20" spans="1:11">
      <c r="A20">
        <f>Ativos!A20</f>
        <v>0</v>
      </c>
      <c r="B20" s="2" t="str">
        <f>Ativos!N20</f>
        <v/>
      </c>
      <c r="C20" t="str">
        <f>Ativos!O20</f>
        <v/>
      </c>
      <c r="D20" t="str">
        <f>Ativos!P20</f>
        <v/>
      </c>
      <c r="E20" t="str">
        <f>Ativos!C20</f>
        <v>Suíte dependência</v>
      </c>
      <c r="F20">
        <f>Ativos!E20</f>
        <v>0</v>
      </c>
      <c r="G20">
        <f>Ativos!G20</f>
        <v>0</v>
      </c>
      <c r="H20">
        <f>Ativos!I20</f>
        <v>0</v>
      </c>
      <c r="I20">
        <f>Ativos!S20</f>
        <v>0</v>
      </c>
      <c r="J20" t="str">
        <f ca="1">Ativos!U20</f>
        <v>Sem data</v>
      </c>
      <c r="K20" s="3" t="str">
        <f>Ativos!R20</f>
        <v/>
      </c>
    </row>
    <row r="21" spans="1:11">
      <c r="A21">
        <f>Ativos!A21</f>
        <v>0</v>
      </c>
      <c r="B21" s="2" t="str">
        <f>Ativos!N21</f>
        <v/>
      </c>
      <c r="C21" t="str">
        <f>Ativos!O21</f>
        <v/>
      </c>
      <c r="D21" t="str">
        <f>Ativos!P21</f>
        <v/>
      </c>
      <c r="E21">
        <f>Ativos!C21</f>
        <v>0</v>
      </c>
      <c r="F21">
        <f>Ativos!E21</f>
        <v>0</v>
      </c>
      <c r="G21">
        <f>Ativos!G21</f>
        <v>0</v>
      </c>
      <c r="H21">
        <f>Ativos!I21</f>
        <v>0</v>
      </c>
      <c r="I21">
        <f>Ativos!S21</f>
        <v>0</v>
      </c>
      <c r="J21" t="str">
        <f ca="1">Ativos!U21</f>
        <v>Sem data</v>
      </c>
      <c r="K21" s="3" t="str">
        <f>Ativos!R21</f>
        <v/>
      </c>
    </row>
    <row r="22" spans="1:11">
      <c r="A22">
        <f>Ativos!A22</f>
        <v>0</v>
      </c>
      <c r="B22" s="2" t="str">
        <f>Ativos!N22</f>
        <v/>
      </c>
      <c r="C22" t="str">
        <f>Ativos!O22</f>
        <v/>
      </c>
      <c r="D22" t="str">
        <f>Ativos!P22</f>
        <v/>
      </c>
      <c r="E22">
        <f>Ativos!C22</f>
        <v>0</v>
      </c>
      <c r="F22">
        <f>Ativos!E22</f>
        <v>0</v>
      </c>
      <c r="G22">
        <f>Ativos!G22</f>
        <v>0</v>
      </c>
      <c r="H22">
        <f>Ativos!I22</f>
        <v>0</v>
      </c>
      <c r="I22">
        <f>Ativos!S22</f>
        <v>0</v>
      </c>
      <c r="J22" t="str">
        <f ca="1">Ativos!U22</f>
        <v>Sem data</v>
      </c>
      <c r="K22" s="3" t="str">
        <f>Ativos!R22</f>
        <v/>
      </c>
    </row>
    <row r="23" spans="1:11">
      <c r="A23">
        <f>Ativos!A23</f>
        <v>0</v>
      </c>
      <c r="B23" s="2" t="str">
        <f>Ativos!N23</f>
        <v/>
      </c>
      <c r="C23" t="str">
        <f>Ativos!O23</f>
        <v/>
      </c>
      <c r="D23" t="str">
        <f>Ativos!P23</f>
        <v/>
      </c>
      <c r="E23">
        <f>Ativos!C23</f>
        <v>0</v>
      </c>
      <c r="F23">
        <f>Ativos!E23</f>
        <v>0</v>
      </c>
      <c r="G23">
        <f>Ativos!G23</f>
        <v>0</v>
      </c>
      <c r="H23">
        <f>Ativos!I23</f>
        <v>0</v>
      </c>
      <c r="I23">
        <f>Ativos!S23</f>
        <v>0</v>
      </c>
      <c r="J23" t="str">
        <f ca="1">Ativos!U23</f>
        <v>Sem data</v>
      </c>
      <c r="K23" s="3" t="str">
        <f>Ativos!R23</f>
        <v/>
      </c>
    </row>
    <row r="24" spans="1:11">
      <c r="A24">
        <f>Ativos!A24</f>
        <v>0</v>
      </c>
      <c r="B24" s="2" t="str">
        <f>Ativos!N24</f>
        <v/>
      </c>
      <c r="C24" t="str">
        <f>Ativos!O24</f>
        <v/>
      </c>
      <c r="D24" t="str">
        <f>Ativos!P24</f>
        <v/>
      </c>
      <c r="E24">
        <f>Ativos!C24</f>
        <v>0</v>
      </c>
      <c r="F24">
        <f>Ativos!E24</f>
        <v>0</v>
      </c>
      <c r="G24">
        <f>Ativos!G24</f>
        <v>0</v>
      </c>
      <c r="H24">
        <f>Ativos!I24</f>
        <v>0</v>
      </c>
      <c r="I24">
        <f>Ativos!S24</f>
        <v>0</v>
      </c>
      <c r="J24" t="str">
        <f ca="1">Ativos!U24</f>
        <v>Sem data</v>
      </c>
      <c r="K24" s="3" t="str">
        <f>Ativos!R24</f>
        <v/>
      </c>
    </row>
    <row r="25" spans="1:11">
      <c r="A25">
        <f>Ativos!A25</f>
        <v>0</v>
      </c>
      <c r="B25" s="2" t="str">
        <f>Ativos!N25</f>
        <v/>
      </c>
      <c r="C25" t="str">
        <f>Ativos!O25</f>
        <v/>
      </c>
      <c r="D25" t="str">
        <f>Ativos!P25</f>
        <v/>
      </c>
      <c r="E25">
        <f>Ativos!C25</f>
        <v>0</v>
      </c>
      <c r="F25">
        <f>Ativos!E25</f>
        <v>0</v>
      </c>
      <c r="G25">
        <f>Ativos!G25</f>
        <v>0</v>
      </c>
      <c r="H25">
        <f>Ativos!I25</f>
        <v>0</v>
      </c>
      <c r="I25">
        <f>Ativos!S25</f>
        <v>0</v>
      </c>
      <c r="J25" t="str">
        <f ca="1">Ativos!U25</f>
        <v>Sem data</v>
      </c>
      <c r="K25" s="3" t="str">
        <f>Ativos!R25</f>
        <v/>
      </c>
    </row>
    <row r="26" spans="1:11">
      <c r="A26">
        <f>Ativos!A26</f>
        <v>0</v>
      </c>
      <c r="B26" s="2" t="str">
        <f>Ativos!N26</f>
        <v/>
      </c>
      <c r="C26" t="str">
        <f>Ativos!O26</f>
        <v/>
      </c>
      <c r="D26" t="str">
        <f>Ativos!P26</f>
        <v/>
      </c>
      <c r="E26">
        <f>Ativos!C26</f>
        <v>0</v>
      </c>
      <c r="F26">
        <f>Ativos!E26</f>
        <v>0</v>
      </c>
      <c r="G26">
        <f>Ativos!G26</f>
        <v>0</v>
      </c>
      <c r="H26">
        <f>Ativos!I26</f>
        <v>0</v>
      </c>
      <c r="I26">
        <f>Ativos!S26</f>
        <v>0</v>
      </c>
      <c r="J26" t="str">
        <f ca="1">Ativos!U26</f>
        <v>Sem data</v>
      </c>
      <c r="K26" s="3" t="str">
        <f>Ativos!R26</f>
        <v/>
      </c>
    </row>
    <row r="27" spans="1:11">
      <c r="A27">
        <f>Ativos!A27</f>
        <v>0</v>
      </c>
      <c r="B27" s="2" t="str">
        <f>Ativos!N27</f>
        <v/>
      </c>
      <c r="C27" t="str">
        <f>Ativos!O27</f>
        <v/>
      </c>
      <c r="D27" t="str">
        <f>Ativos!P27</f>
        <v/>
      </c>
      <c r="E27">
        <f>Ativos!C27</f>
        <v>0</v>
      </c>
      <c r="F27">
        <f>Ativos!E27</f>
        <v>0</v>
      </c>
      <c r="G27">
        <f>Ativos!G27</f>
        <v>0</v>
      </c>
      <c r="H27">
        <f>Ativos!I27</f>
        <v>0</v>
      </c>
      <c r="I27">
        <f>Ativos!S27</f>
        <v>0</v>
      </c>
      <c r="J27" t="str">
        <f ca="1">Ativos!U27</f>
        <v>Sem data</v>
      </c>
      <c r="K27" s="3" t="str">
        <f>Ativos!R27</f>
        <v/>
      </c>
    </row>
    <row r="28" spans="1:11">
      <c r="A28">
        <f>Ativos!A28</f>
        <v>0</v>
      </c>
      <c r="B28" s="2" t="str">
        <f>Ativos!N28</f>
        <v/>
      </c>
      <c r="C28" t="str">
        <f>Ativos!O28</f>
        <v/>
      </c>
      <c r="D28" t="str">
        <f>Ativos!P28</f>
        <v/>
      </c>
      <c r="E28">
        <f>Ativos!C28</f>
        <v>0</v>
      </c>
      <c r="F28">
        <f>Ativos!E28</f>
        <v>0</v>
      </c>
      <c r="G28">
        <f>Ativos!G28</f>
        <v>0</v>
      </c>
      <c r="H28">
        <f>Ativos!I28</f>
        <v>0</v>
      </c>
      <c r="I28">
        <f>Ativos!S28</f>
        <v>0</v>
      </c>
      <c r="J28" t="str">
        <f ca="1">Ativos!U28</f>
        <v>Sem data</v>
      </c>
      <c r="K28" s="3" t="str">
        <f>Ativos!R28</f>
        <v/>
      </c>
    </row>
    <row r="29" spans="1:11">
      <c r="A29">
        <f>Ativos!A29</f>
        <v>0</v>
      </c>
      <c r="B29" s="2" t="str">
        <f>Ativos!N29</f>
        <v/>
      </c>
      <c r="C29" t="str">
        <f>Ativos!O29</f>
        <v/>
      </c>
      <c r="D29" t="str">
        <f>Ativos!P29</f>
        <v/>
      </c>
      <c r="E29">
        <f>Ativos!C29</f>
        <v>0</v>
      </c>
      <c r="F29">
        <f>Ativos!E29</f>
        <v>0</v>
      </c>
      <c r="G29">
        <f>Ativos!G29</f>
        <v>0</v>
      </c>
      <c r="H29">
        <f>Ativos!I29</f>
        <v>0</v>
      </c>
      <c r="I29">
        <f>Ativos!S29</f>
        <v>0</v>
      </c>
      <c r="J29" t="str">
        <f ca="1">Ativos!U29</f>
        <v>Sem data</v>
      </c>
      <c r="K29" s="3" t="str">
        <f>Ativos!R29</f>
        <v/>
      </c>
    </row>
    <row r="30" spans="1:11">
      <c r="A30">
        <f>Ativos!A30</f>
        <v>0</v>
      </c>
      <c r="B30" s="2" t="str">
        <f>Ativos!N30</f>
        <v/>
      </c>
      <c r="C30" t="str">
        <f>Ativos!O30</f>
        <v/>
      </c>
      <c r="D30" t="str">
        <f>Ativos!P30</f>
        <v/>
      </c>
      <c r="E30">
        <f>Ativos!C30</f>
        <v>0</v>
      </c>
      <c r="F30">
        <f>Ativos!E30</f>
        <v>0</v>
      </c>
      <c r="G30">
        <f>Ativos!G30</f>
        <v>0</v>
      </c>
      <c r="H30">
        <f>Ativos!I30</f>
        <v>0</v>
      </c>
      <c r="I30">
        <f>Ativos!S30</f>
        <v>0</v>
      </c>
      <c r="J30" t="str">
        <f ca="1">Ativos!U30</f>
        <v>Sem data</v>
      </c>
      <c r="K30" s="3" t="str">
        <f>Ativos!R30</f>
        <v/>
      </c>
    </row>
    <row r="31" spans="1:11">
      <c r="A31">
        <f>Ativos!A31</f>
        <v>0</v>
      </c>
      <c r="B31" s="2" t="str">
        <f>Ativos!N31</f>
        <v/>
      </c>
      <c r="C31" t="str">
        <f>Ativos!O31</f>
        <v/>
      </c>
      <c r="D31" t="str">
        <f>Ativos!P31</f>
        <v/>
      </c>
      <c r="E31">
        <f>Ativos!C31</f>
        <v>0</v>
      </c>
      <c r="F31">
        <f>Ativos!E31</f>
        <v>0</v>
      </c>
      <c r="G31">
        <f>Ativos!G31</f>
        <v>0</v>
      </c>
      <c r="H31">
        <f>Ativos!I31</f>
        <v>0</v>
      </c>
      <c r="I31">
        <f>Ativos!S31</f>
        <v>0</v>
      </c>
      <c r="J31" t="str">
        <f ca="1">Ativos!U31</f>
        <v>Sem data</v>
      </c>
      <c r="K31" s="3" t="str">
        <f>Ativos!R31</f>
        <v/>
      </c>
    </row>
    <row r="32" spans="1:11">
      <c r="A32">
        <f>Ativos!A32</f>
        <v>0</v>
      </c>
      <c r="B32" s="2" t="str">
        <f>Ativos!N32</f>
        <v/>
      </c>
      <c r="C32" t="str">
        <f>Ativos!O32</f>
        <v/>
      </c>
      <c r="D32" t="str">
        <f>Ativos!P32</f>
        <v/>
      </c>
      <c r="E32">
        <f>Ativos!C32</f>
        <v>0</v>
      </c>
      <c r="F32">
        <f>Ativos!E32</f>
        <v>0</v>
      </c>
      <c r="G32">
        <f>Ativos!G32</f>
        <v>0</v>
      </c>
      <c r="H32">
        <f>Ativos!I32</f>
        <v>0</v>
      </c>
      <c r="I32">
        <f>Ativos!S32</f>
        <v>0</v>
      </c>
      <c r="J32" t="str">
        <f ca="1">Ativos!U32</f>
        <v>Sem data</v>
      </c>
      <c r="K32" s="3" t="str">
        <f>Ativos!R32</f>
        <v/>
      </c>
    </row>
    <row r="33" spans="1:11">
      <c r="A33">
        <f>Ativos!A33</f>
        <v>0</v>
      </c>
      <c r="B33" s="2" t="str">
        <f>Ativos!N33</f>
        <v/>
      </c>
      <c r="C33" t="str">
        <f>Ativos!O33</f>
        <v/>
      </c>
      <c r="D33" t="str">
        <f>Ativos!P33</f>
        <v/>
      </c>
      <c r="E33">
        <f>Ativos!C33</f>
        <v>0</v>
      </c>
      <c r="F33">
        <f>Ativos!E33</f>
        <v>0</v>
      </c>
      <c r="G33">
        <f>Ativos!G33</f>
        <v>0</v>
      </c>
      <c r="H33">
        <f>Ativos!I33</f>
        <v>0</v>
      </c>
      <c r="I33">
        <f>Ativos!S33</f>
        <v>0</v>
      </c>
      <c r="J33" t="str">
        <f ca="1">Ativos!U33</f>
        <v>Sem data</v>
      </c>
      <c r="K33" s="3" t="str">
        <f>Ativos!R33</f>
        <v/>
      </c>
    </row>
    <row r="34" spans="1:11">
      <c r="A34">
        <f>Ativos!A34</f>
        <v>0</v>
      </c>
      <c r="B34" s="2" t="str">
        <f>Ativos!N34</f>
        <v/>
      </c>
      <c r="C34" t="str">
        <f>Ativos!O34</f>
        <v/>
      </c>
      <c r="D34" t="str">
        <f>Ativos!P34</f>
        <v/>
      </c>
      <c r="E34">
        <f>Ativos!C34</f>
        <v>0</v>
      </c>
      <c r="F34">
        <f>Ativos!E34</f>
        <v>0</v>
      </c>
      <c r="G34">
        <f>Ativos!G34</f>
        <v>0</v>
      </c>
      <c r="H34">
        <f>Ativos!I34</f>
        <v>0</v>
      </c>
      <c r="I34">
        <f>Ativos!S34</f>
        <v>0</v>
      </c>
      <c r="J34" t="str">
        <f ca="1">Ativos!U34</f>
        <v>Sem data</v>
      </c>
      <c r="K34" s="3" t="str">
        <f>Ativos!R34</f>
        <v/>
      </c>
    </row>
    <row r="35" spans="1:11">
      <c r="A35">
        <f>Ativos!A35</f>
        <v>0</v>
      </c>
      <c r="B35" s="2" t="str">
        <f>Ativos!N35</f>
        <v/>
      </c>
      <c r="C35" t="str">
        <f>Ativos!O35</f>
        <v/>
      </c>
      <c r="D35" t="str">
        <f>Ativos!P35</f>
        <v/>
      </c>
      <c r="E35">
        <f>Ativos!C35</f>
        <v>0</v>
      </c>
      <c r="F35">
        <f>Ativos!E35</f>
        <v>0</v>
      </c>
      <c r="G35">
        <f>Ativos!G35</f>
        <v>0</v>
      </c>
      <c r="H35">
        <f>Ativos!I35</f>
        <v>0</v>
      </c>
      <c r="I35">
        <f>Ativos!S35</f>
        <v>0</v>
      </c>
      <c r="J35" t="str">
        <f ca="1">Ativos!U35</f>
        <v>Sem data</v>
      </c>
      <c r="K35" s="3" t="str">
        <f>Ativos!R35</f>
        <v/>
      </c>
    </row>
    <row r="36" spans="1:11">
      <c r="A36">
        <f>Ativos!A36</f>
        <v>0</v>
      </c>
      <c r="B36" s="2" t="str">
        <f>Ativos!N36</f>
        <v/>
      </c>
      <c r="C36" t="str">
        <f>Ativos!O36</f>
        <v/>
      </c>
      <c r="D36" t="str">
        <f>Ativos!P36</f>
        <v/>
      </c>
      <c r="E36">
        <f>Ativos!C36</f>
        <v>0</v>
      </c>
      <c r="F36">
        <f>Ativos!E36</f>
        <v>0</v>
      </c>
      <c r="G36">
        <f>Ativos!G36</f>
        <v>0</v>
      </c>
      <c r="H36">
        <f>Ativos!I36</f>
        <v>0</v>
      </c>
      <c r="I36">
        <f>Ativos!S36</f>
        <v>0</v>
      </c>
      <c r="J36" t="str">
        <f ca="1">Ativos!U36</f>
        <v>Sem data</v>
      </c>
      <c r="K36" s="3" t="str">
        <f>Ativos!R36</f>
        <v/>
      </c>
    </row>
    <row r="37" spans="1:11">
      <c r="A37">
        <f>Ativos!A37</f>
        <v>0</v>
      </c>
      <c r="B37" s="2" t="str">
        <f>Ativos!N37</f>
        <v/>
      </c>
      <c r="C37" t="str">
        <f>Ativos!O37</f>
        <v/>
      </c>
      <c r="D37" t="str">
        <f>Ativos!P37</f>
        <v/>
      </c>
      <c r="E37">
        <f>Ativos!C37</f>
        <v>0</v>
      </c>
      <c r="F37">
        <f>Ativos!E37</f>
        <v>0</v>
      </c>
      <c r="G37">
        <f>Ativos!G37</f>
        <v>0</v>
      </c>
      <c r="H37">
        <f>Ativos!I37</f>
        <v>0</v>
      </c>
      <c r="I37">
        <f>Ativos!S37</f>
        <v>0</v>
      </c>
      <c r="J37" t="str">
        <f ca="1">Ativos!U37</f>
        <v>Sem data</v>
      </c>
      <c r="K37" s="3" t="str">
        <f>Ativos!R37</f>
        <v/>
      </c>
    </row>
    <row r="38" spans="1:11">
      <c r="A38">
        <f>Ativos!A38</f>
        <v>0</v>
      </c>
      <c r="B38" s="2" t="str">
        <f>Ativos!N38</f>
        <v/>
      </c>
      <c r="C38" t="str">
        <f>Ativos!O38</f>
        <v/>
      </c>
      <c r="D38" t="str">
        <f>Ativos!P38</f>
        <v/>
      </c>
      <c r="E38">
        <f>Ativos!C38</f>
        <v>0</v>
      </c>
      <c r="F38">
        <f>Ativos!E38</f>
        <v>0</v>
      </c>
      <c r="G38">
        <f>Ativos!G38</f>
        <v>0</v>
      </c>
      <c r="H38">
        <f>Ativos!I38</f>
        <v>0</v>
      </c>
      <c r="I38">
        <f>Ativos!S38</f>
        <v>0</v>
      </c>
      <c r="J38" t="str">
        <f ca="1">Ativos!U38</f>
        <v>Sem data</v>
      </c>
      <c r="K38" s="3" t="str">
        <f>Ativos!R38</f>
        <v/>
      </c>
    </row>
    <row r="39" spans="1:11">
      <c r="A39">
        <f>Ativos!A39</f>
        <v>0</v>
      </c>
      <c r="B39" s="2" t="str">
        <f>Ativos!N39</f>
        <v/>
      </c>
      <c r="C39" t="str">
        <f>Ativos!O39</f>
        <v/>
      </c>
      <c r="D39" t="str">
        <f>Ativos!P39</f>
        <v/>
      </c>
      <c r="E39">
        <f>Ativos!C39</f>
        <v>0</v>
      </c>
      <c r="F39">
        <f>Ativos!E39</f>
        <v>0</v>
      </c>
      <c r="G39">
        <f>Ativos!G39</f>
        <v>0</v>
      </c>
      <c r="H39">
        <f>Ativos!I39</f>
        <v>0</v>
      </c>
      <c r="I39">
        <f>Ativos!S39</f>
        <v>0</v>
      </c>
      <c r="J39" t="str">
        <f ca="1">Ativos!U39</f>
        <v>Sem data</v>
      </c>
      <c r="K39" s="3" t="str">
        <f>Ativos!R39</f>
        <v/>
      </c>
    </row>
    <row r="40" spans="1:11">
      <c r="A40">
        <f>Ativos!A40</f>
        <v>0</v>
      </c>
      <c r="B40" s="2" t="str">
        <f>Ativos!N40</f>
        <v/>
      </c>
      <c r="C40" t="str">
        <f>Ativos!O40</f>
        <v/>
      </c>
      <c r="D40" t="str">
        <f>Ativos!P40</f>
        <v/>
      </c>
      <c r="E40">
        <f>Ativos!C40</f>
        <v>0</v>
      </c>
      <c r="F40">
        <f>Ativos!E40</f>
        <v>0</v>
      </c>
      <c r="G40">
        <f>Ativos!G40</f>
        <v>0</v>
      </c>
      <c r="H40">
        <f>Ativos!I40</f>
        <v>0</v>
      </c>
      <c r="I40">
        <f>Ativos!S40</f>
        <v>0</v>
      </c>
      <c r="J40" t="str">
        <f ca="1">Ativos!U40</f>
        <v>Sem data</v>
      </c>
      <c r="K40" s="3" t="str">
        <f>Ativos!R40</f>
        <v/>
      </c>
    </row>
    <row r="41" spans="1:11">
      <c r="A41">
        <f>Ativos!A41</f>
        <v>0</v>
      </c>
      <c r="B41" s="2" t="str">
        <f>Ativos!N41</f>
        <v/>
      </c>
      <c r="C41" t="str">
        <f>Ativos!O41</f>
        <v/>
      </c>
      <c r="D41" t="str">
        <f>Ativos!P41</f>
        <v/>
      </c>
      <c r="E41">
        <f>Ativos!C41</f>
        <v>0</v>
      </c>
      <c r="F41">
        <f>Ativos!E41</f>
        <v>0</v>
      </c>
      <c r="G41">
        <f>Ativos!G41</f>
        <v>0</v>
      </c>
      <c r="H41">
        <f>Ativos!I41</f>
        <v>0</v>
      </c>
      <c r="I41">
        <f>Ativos!S41</f>
        <v>0</v>
      </c>
      <c r="J41" t="str">
        <f ca="1">Ativos!U41</f>
        <v>Sem data</v>
      </c>
      <c r="K41" s="3" t="str">
        <f>Ativos!R41</f>
        <v/>
      </c>
    </row>
    <row r="42" spans="1:11">
      <c r="A42">
        <f>Ativos!A42</f>
        <v>0</v>
      </c>
      <c r="B42" s="2" t="str">
        <f>Ativos!N42</f>
        <v/>
      </c>
      <c r="C42" t="str">
        <f>Ativos!O42</f>
        <v/>
      </c>
      <c r="D42" t="str">
        <f>Ativos!P42</f>
        <v/>
      </c>
      <c r="E42">
        <f>Ativos!C42</f>
        <v>0</v>
      </c>
      <c r="F42">
        <f>Ativos!E42</f>
        <v>0</v>
      </c>
      <c r="G42">
        <f>Ativos!G42</f>
        <v>0</v>
      </c>
      <c r="H42">
        <f>Ativos!I42</f>
        <v>0</v>
      </c>
      <c r="I42">
        <f>Ativos!S42</f>
        <v>0</v>
      </c>
      <c r="J42" t="str">
        <f ca="1">Ativos!U42</f>
        <v>Sem data</v>
      </c>
      <c r="K42" s="3" t="str">
        <f>Ativos!R42</f>
        <v/>
      </c>
    </row>
    <row r="43" spans="1:11">
      <c r="A43">
        <f>Ativos!A43</f>
        <v>0</v>
      </c>
      <c r="B43" s="2" t="str">
        <f>Ativos!N43</f>
        <v/>
      </c>
      <c r="C43" t="str">
        <f>Ativos!O43</f>
        <v/>
      </c>
      <c r="D43" t="str">
        <f>Ativos!P43</f>
        <v/>
      </c>
      <c r="E43">
        <f>Ativos!C43</f>
        <v>0</v>
      </c>
      <c r="F43">
        <f>Ativos!E43</f>
        <v>0</v>
      </c>
      <c r="G43">
        <f>Ativos!G43</f>
        <v>0</v>
      </c>
      <c r="H43">
        <f>Ativos!I43</f>
        <v>0</v>
      </c>
      <c r="I43">
        <f>Ativos!S43</f>
        <v>0</v>
      </c>
      <c r="J43" t="str">
        <f ca="1">Ativos!U43</f>
        <v>Sem data</v>
      </c>
      <c r="K43" s="3" t="str">
        <f>Ativos!R43</f>
        <v/>
      </c>
    </row>
    <row r="44" spans="1:11">
      <c r="A44">
        <f>Ativos!A44</f>
        <v>0</v>
      </c>
      <c r="B44" s="2" t="str">
        <f>Ativos!N44</f>
        <v/>
      </c>
      <c r="C44" t="str">
        <f>Ativos!O44</f>
        <v/>
      </c>
      <c r="D44" t="str">
        <f>Ativos!P44</f>
        <v/>
      </c>
      <c r="E44">
        <f>Ativos!C44</f>
        <v>0</v>
      </c>
      <c r="F44">
        <f>Ativos!E44</f>
        <v>0</v>
      </c>
      <c r="G44">
        <f>Ativos!G44</f>
        <v>0</v>
      </c>
      <c r="H44">
        <f>Ativos!I44</f>
        <v>0</v>
      </c>
      <c r="I44">
        <f>Ativos!S44</f>
        <v>0</v>
      </c>
      <c r="J44" t="str">
        <f ca="1">Ativos!U44</f>
        <v>Sem data</v>
      </c>
      <c r="K44" s="3" t="str">
        <f>Ativos!R44</f>
        <v/>
      </c>
    </row>
    <row r="45" spans="1:11">
      <c r="A45">
        <f>Ativos!A45</f>
        <v>0</v>
      </c>
      <c r="B45" s="2" t="str">
        <f>Ativos!N45</f>
        <v/>
      </c>
      <c r="C45" t="str">
        <f>Ativos!O45</f>
        <v/>
      </c>
      <c r="D45" t="str">
        <f>Ativos!P45</f>
        <v/>
      </c>
      <c r="E45">
        <f>Ativos!C45</f>
        <v>0</v>
      </c>
      <c r="F45">
        <f>Ativos!E45</f>
        <v>0</v>
      </c>
      <c r="G45">
        <f>Ativos!G45</f>
        <v>0</v>
      </c>
      <c r="H45">
        <f>Ativos!I45</f>
        <v>0</v>
      </c>
      <c r="I45">
        <f>Ativos!S45</f>
        <v>0</v>
      </c>
      <c r="J45" t="str">
        <f ca="1">Ativos!U45</f>
        <v>Sem data</v>
      </c>
      <c r="K45" s="3" t="str">
        <f>Ativos!R45</f>
        <v/>
      </c>
    </row>
    <row r="46" spans="1:11">
      <c r="A46">
        <f>Ativos!A46</f>
        <v>0</v>
      </c>
      <c r="B46" s="2" t="str">
        <f>Ativos!N46</f>
        <v/>
      </c>
      <c r="C46" t="str">
        <f>Ativos!O46</f>
        <v/>
      </c>
      <c r="D46" t="str">
        <f>Ativos!P46</f>
        <v/>
      </c>
      <c r="E46">
        <f>Ativos!C46</f>
        <v>0</v>
      </c>
      <c r="F46">
        <f>Ativos!E46</f>
        <v>0</v>
      </c>
      <c r="G46">
        <f>Ativos!G46</f>
        <v>0</v>
      </c>
      <c r="H46">
        <f>Ativos!I46</f>
        <v>0</v>
      </c>
      <c r="I46">
        <f>Ativos!S46</f>
        <v>0</v>
      </c>
      <c r="J46" t="str">
        <f ca="1">Ativos!U46</f>
        <v>Sem data</v>
      </c>
      <c r="K46" s="3" t="str">
        <f>Ativos!R46</f>
        <v/>
      </c>
    </row>
    <row r="47" spans="1:11">
      <c r="A47">
        <f>Ativos!A47</f>
        <v>0</v>
      </c>
      <c r="B47" s="2" t="str">
        <f>Ativos!N47</f>
        <v/>
      </c>
      <c r="C47" t="str">
        <f>Ativos!O47</f>
        <v/>
      </c>
      <c r="D47" t="str">
        <f>Ativos!P47</f>
        <v/>
      </c>
      <c r="E47">
        <f>Ativos!C47</f>
        <v>0</v>
      </c>
      <c r="F47">
        <f>Ativos!E47</f>
        <v>0</v>
      </c>
      <c r="G47">
        <f>Ativos!G47</f>
        <v>0</v>
      </c>
      <c r="H47">
        <f>Ativos!I47</f>
        <v>0</v>
      </c>
      <c r="I47">
        <f>Ativos!S47</f>
        <v>0</v>
      </c>
      <c r="J47" t="str">
        <f ca="1">Ativos!U47</f>
        <v>Sem data</v>
      </c>
      <c r="K47" s="3" t="str">
        <f>Ativos!R47</f>
        <v/>
      </c>
    </row>
    <row r="48" spans="1:11">
      <c r="A48">
        <f>Ativos!A48</f>
        <v>0</v>
      </c>
      <c r="B48" s="2" t="str">
        <f>Ativos!N48</f>
        <v/>
      </c>
      <c r="C48" t="str">
        <f>Ativos!O48</f>
        <v/>
      </c>
      <c r="D48" t="str">
        <f>Ativos!P48</f>
        <v/>
      </c>
      <c r="E48">
        <f>Ativos!C48</f>
        <v>0</v>
      </c>
      <c r="F48">
        <f>Ativos!E48</f>
        <v>0</v>
      </c>
      <c r="G48">
        <f>Ativos!G48</f>
        <v>0</v>
      </c>
      <c r="H48">
        <f>Ativos!I48</f>
        <v>0</v>
      </c>
      <c r="I48">
        <f>Ativos!S48</f>
        <v>0</v>
      </c>
      <c r="J48" t="str">
        <f ca="1">Ativos!U48</f>
        <v>Sem data</v>
      </c>
      <c r="K48" s="3" t="str">
        <f>Ativos!R48</f>
        <v/>
      </c>
    </row>
    <row r="49" spans="1:11">
      <c r="A49">
        <f>Ativos!A49</f>
        <v>0</v>
      </c>
      <c r="B49" s="2" t="str">
        <f>Ativos!N49</f>
        <v/>
      </c>
      <c r="C49" t="str">
        <f>Ativos!O49</f>
        <v/>
      </c>
      <c r="D49" t="str">
        <f>Ativos!P49</f>
        <v/>
      </c>
      <c r="E49">
        <f>Ativos!C49</f>
        <v>0</v>
      </c>
      <c r="F49">
        <f>Ativos!E49</f>
        <v>0</v>
      </c>
      <c r="G49">
        <f>Ativos!G49</f>
        <v>0</v>
      </c>
      <c r="H49">
        <f>Ativos!I49</f>
        <v>0</v>
      </c>
      <c r="I49">
        <f>Ativos!S49</f>
        <v>0</v>
      </c>
      <c r="J49" t="str">
        <f ca="1">Ativos!U49</f>
        <v>Sem data</v>
      </c>
      <c r="K49" s="3" t="str">
        <f>Ativos!R49</f>
        <v/>
      </c>
    </row>
    <row r="50" spans="1:11">
      <c r="A50">
        <f>Ativos!A50</f>
        <v>0</v>
      </c>
      <c r="B50" s="2" t="str">
        <f>Ativos!N50</f>
        <v/>
      </c>
      <c r="C50" t="str">
        <f>Ativos!O50</f>
        <v/>
      </c>
      <c r="D50" t="str">
        <f>Ativos!P50</f>
        <v/>
      </c>
      <c r="E50">
        <f>Ativos!C50</f>
        <v>0</v>
      </c>
      <c r="F50">
        <f>Ativos!E50</f>
        <v>0</v>
      </c>
      <c r="G50">
        <f>Ativos!G50</f>
        <v>0</v>
      </c>
      <c r="H50">
        <f>Ativos!I50</f>
        <v>0</v>
      </c>
      <c r="I50">
        <f>Ativos!S50</f>
        <v>0</v>
      </c>
      <c r="J50" t="str">
        <f ca="1">Ativos!U50</f>
        <v>Sem data</v>
      </c>
      <c r="K50" s="3" t="str">
        <f>Ativos!R50</f>
        <v/>
      </c>
    </row>
    <row r="51" spans="1:11">
      <c r="A51">
        <f>Ativos!A51</f>
        <v>0</v>
      </c>
      <c r="B51" s="2" t="str">
        <f>Ativos!N51</f>
        <v/>
      </c>
      <c r="C51" t="str">
        <f>Ativos!O51</f>
        <v/>
      </c>
      <c r="D51" t="str">
        <f>Ativos!P51</f>
        <v/>
      </c>
      <c r="E51">
        <f>Ativos!C51</f>
        <v>0</v>
      </c>
      <c r="F51">
        <f>Ativos!E51</f>
        <v>0</v>
      </c>
      <c r="G51">
        <f>Ativos!G51</f>
        <v>0</v>
      </c>
      <c r="H51">
        <f>Ativos!I51</f>
        <v>0</v>
      </c>
      <c r="I51">
        <f>Ativos!S51</f>
        <v>0</v>
      </c>
      <c r="J51" t="str">
        <f ca="1">Ativos!U51</f>
        <v>Sem data</v>
      </c>
      <c r="K51" s="3" t="str">
        <f>Ativos!R51</f>
        <v/>
      </c>
    </row>
    <row r="52" spans="1:11">
      <c r="A52">
        <f>Ativos!A52</f>
        <v>0</v>
      </c>
      <c r="B52" s="2" t="str">
        <f>Ativos!N52</f>
        <v/>
      </c>
      <c r="C52" t="str">
        <f>Ativos!O52</f>
        <v/>
      </c>
      <c r="D52" t="str">
        <f>Ativos!P52</f>
        <v/>
      </c>
      <c r="E52">
        <f>Ativos!C52</f>
        <v>0</v>
      </c>
      <c r="F52">
        <f>Ativos!E52</f>
        <v>0</v>
      </c>
      <c r="G52">
        <f>Ativos!G52</f>
        <v>0</v>
      </c>
      <c r="H52">
        <f>Ativos!I52</f>
        <v>0</v>
      </c>
      <c r="I52">
        <f>Ativos!S52</f>
        <v>0</v>
      </c>
      <c r="J52" t="str">
        <f ca="1">Ativos!U52</f>
        <v>Sem data</v>
      </c>
      <c r="K52" s="3" t="str">
        <f>Ativos!R52</f>
        <v/>
      </c>
    </row>
    <row r="53" spans="1:11">
      <c r="A53">
        <f>Ativos!A53</f>
        <v>0</v>
      </c>
      <c r="B53" s="2" t="str">
        <f>Ativos!N53</f>
        <v/>
      </c>
      <c r="C53" t="str">
        <f>Ativos!O53</f>
        <v/>
      </c>
      <c r="D53" t="str">
        <f>Ativos!P53</f>
        <v/>
      </c>
      <c r="E53">
        <f>Ativos!C53</f>
        <v>0</v>
      </c>
      <c r="F53">
        <f>Ativos!E53</f>
        <v>0</v>
      </c>
      <c r="G53">
        <f>Ativos!G53</f>
        <v>0</v>
      </c>
      <c r="H53">
        <f>Ativos!I53</f>
        <v>0</v>
      </c>
      <c r="I53">
        <f>Ativos!S53</f>
        <v>0</v>
      </c>
      <c r="J53" t="str">
        <f ca="1">Ativos!U53</f>
        <v>Sem data</v>
      </c>
      <c r="K53" s="3" t="str">
        <f>Ativos!R53</f>
        <v/>
      </c>
    </row>
    <row r="54" spans="1:11">
      <c r="A54">
        <f>Ativos!A54</f>
        <v>0</v>
      </c>
      <c r="B54" s="2" t="str">
        <f>Ativos!N54</f>
        <v/>
      </c>
      <c r="C54" t="str">
        <f>Ativos!O54</f>
        <v/>
      </c>
      <c r="D54" t="str">
        <f>Ativos!P54</f>
        <v/>
      </c>
      <c r="E54">
        <f>Ativos!C54</f>
        <v>0</v>
      </c>
      <c r="F54">
        <f>Ativos!E54</f>
        <v>0</v>
      </c>
      <c r="G54">
        <f>Ativos!G54</f>
        <v>0</v>
      </c>
      <c r="H54">
        <f>Ativos!I54</f>
        <v>0</v>
      </c>
      <c r="I54">
        <f>Ativos!S54</f>
        <v>0</v>
      </c>
      <c r="J54" t="str">
        <f ca="1">Ativos!U54</f>
        <v>Sem data</v>
      </c>
      <c r="K54" s="3" t="str">
        <f>Ativos!R54</f>
        <v/>
      </c>
    </row>
    <row r="55" spans="1:11">
      <c r="A55">
        <f>Ativos!A55</f>
        <v>0</v>
      </c>
      <c r="B55" s="2" t="str">
        <f>Ativos!N55</f>
        <v/>
      </c>
      <c r="C55" t="str">
        <f>Ativos!O55</f>
        <v/>
      </c>
      <c r="D55" t="str">
        <f>Ativos!P55</f>
        <v/>
      </c>
      <c r="E55">
        <f>Ativos!C55</f>
        <v>0</v>
      </c>
      <c r="F55">
        <f>Ativos!E55</f>
        <v>0</v>
      </c>
      <c r="G55">
        <f>Ativos!G55</f>
        <v>0</v>
      </c>
      <c r="H55">
        <f>Ativos!I55</f>
        <v>0</v>
      </c>
      <c r="I55">
        <f>Ativos!S55</f>
        <v>0</v>
      </c>
      <c r="J55" t="str">
        <f ca="1">Ativos!U55</f>
        <v>Sem data</v>
      </c>
      <c r="K55" s="3" t="str">
        <f>Ativos!R55</f>
        <v/>
      </c>
    </row>
    <row r="56" spans="1:11">
      <c r="A56">
        <f>Ativos!A56</f>
        <v>0</v>
      </c>
      <c r="B56" s="2" t="str">
        <f>Ativos!N56</f>
        <v/>
      </c>
      <c r="C56" t="str">
        <f>Ativos!O56</f>
        <v/>
      </c>
      <c r="D56" t="str">
        <f>Ativos!P56</f>
        <v/>
      </c>
      <c r="E56">
        <f>Ativos!C56</f>
        <v>0</v>
      </c>
      <c r="F56">
        <f>Ativos!E56</f>
        <v>0</v>
      </c>
      <c r="G56">
        <f>Ativos!G56</f>
        <v>0</v>
      </c>
      <c r="H56">
        <f>Ativos!I56</f>
        <v>0</v>
      </c>
      <c r="I56">
        <f>Ativos!S56</f>
        <v>0</v>
      </c>
      <c r="J56" t="str">
        <f ca="1">Ativos!U56</f>
        <v>Sem data</v>
      </c>
      <c r="K56" s="3" t="str">
        <f>Ativos!R56</f>
        <v/>
      </c>
    </row>
    <row r="57" spans="1:11">
      <c r="A57">
        <f>Ativos!A57</f>
        <v>0</v>
      </c>
      <c r="B57" s="2" t="str">
        <f>Ativos!N57</f>
        <v/>
      </c>
      <c r="C57" t="str">
        <f>Ativos!O57</f>
        <v/>
      </c>
      <c r="D57" t="str">
        <f>Ativos!P57</f>
        <v/>
      </c>
      <c r="E57">
        <f>Ativos!C57</f>
        <v>0</v>
      </c>
      <c r="F57">
        <f>Ativos!E57</f>
        <v>0</v>
      </c>
      <c r="G57">
        <f>Ativos!G57</f>
        <v>0</v>
      </c>
      <c r="H57">
        <f>Ativos!I57</f>
        <v>0</v>
      </c>
      <c r="I57">
        <f>Ativos!S57</f>
        <v>0</v>
      </c>
      <c r="J57" t="str">
        <f ca="1">Ativos!U57</f>
        <v>Sem data</v>
      </c>
      <c r="K57" s="3" t="str">
        <f>Ativos!R57</f>
        <v/>
      </c>
    </row>
    <row r="58" spans="1:11">
      <c r="A58">
        <f>Ativos!A58</f>
        <v>0</v>
      </c>
      <c r="B58" s="2" t="str">
        <f>Ativos!N58</f>
        <v/>
      </c>
      <c r="C58" t="str">
        <f>Ativos!O58</f>
        <v/>
      </c>
      <c r="D58" t="str">
        <f>Ativos!P58</f>
        <v/>
      </c>
      <c r="E58">
        <f>Ativos!C58</f>
        <v>0</v>
      </c>
      <c r="F58">
        <f>Ativos!E58</f>
        <v>0</v>
      </c>
      <c r="G58">
        <f>Ativos!G58</f>
        <v>0</v>
      </c>
      <c r="H58">
        <f>Ativos!I58</f>
        <v>0</v>
      </c>
      <c r="I58">
        <f>Ativos!S58</f>
        <v>0</v>
      </c>
      <c r="J58" t="str">
        <f ca="1">Ativos!U58</f>
        <v>Sem data</v>
      </c>
      <c r="K58" s="3" t="str">
        <f>Ativos!R58</f>
        <v/>
      </c>
    </row>
    <row r="59" spans="1:11">
      <c r="A59">
        <f>Ativos!A59</f>
        <v>0</v>
      </c>
      <c r="B59" s="2" t="str">
        <f>Ativos!N59</f>
        <v/>
      </c>
      <c r="C59" t="str">
        <f>Ativos!O59</f>
        <v/>
      </c>
      <c r="D59" t="str">
        <f>Ativos!P59</f>
        <v/>
      </c>
      <c r="E59">
        <f>Ativos!C59</f>
        <v>0</v>
      </c>
      <c r="F59">
        <f>Ativos!E59</f>
        <v>0</v>
      </c>
      <c r="G59">
        <f>Ativos!G59</f>
        <v>0</v>
      </c>
      <c r="H59">
        <f>Ativos!I59</f>
        <v>0</v>
      </c>
      <c r="I59">
        <f>Ativos!S59</f>
        <v>0</v>
      </c>
      <c r="J59" t="str">
        <f ca="1">Ativos!U59</f>
        <v>Sem data</v>
      </c>
      <c r="K59" s="3" t="str">
        <f>Ativos!R59</f>
        <v/>
      </c>
    </row>
    <row r="60" spans="1:11">
      <c r="A60">
        <f>Ativos!A60</f>
        <v>0</v>
      </c>
      <c r="B60" s="2" t="str">
        <f>Ativos!N60</f>
        <v/>
      </c>
      <c r="C60" t="str">
        <f>Ativos!O60</f>
        <v/>
      </c>
      <c r="D60" t="str">
        <f>Ativos!P60</f>
        <v/>
      </c>
      <c r="E60">
        <f>Ativos!C60</f>
        <v>0</v>
      </c>
      <c r="F60">
        <f>Ativos!E60</f>
        <v>0</v>
      </c>
      <c r="G60">
        <f>Ativos!G60</f>
        <v>0</v>
      </c>
      <c r="H60">
        <f>Ativos!I60</f>
        <v>0</v>
      </c>
      <c r="I60">
        <f>Ativos!S60</f>
        <v>0</v>
      </c>
      <c r="J60" t="str">
        <f ca="1">Ativos!U60</f>
        <v>Sem data</v>
      </c>
      <c r="K60" s="3" t="str">
        <f>Ativos!R60</f>
        <v/>
      </c>
    </row>
    <row r="61" spans="1:11">
      <c r="A61">
        <f>Ativos!A61</f>
        <v>0</v>
      </c>
      <c r="B61" s="2" t="str">
        <f>Ativos!N61</f>
        <v/>
      </c>
      <c r="C61" t="str">
        <f>Ativos!O61</f>
        <v/>
      </c>
      <c r="D61" t="str">
        <f>Ativos!P61</f>
        <v/>
      </c>
      <c r="E61">
        <f>Ativos!C61</f>
        <v>0</v>
      </c>
      <c r="F61">
        <f>Ativos!E61</f>
        <v>0</v>
      </c>
      <c r="G61">
        <f>Ativos!G61</f>
        <v>0</v>
      </c>
      <c r="H61">
        <f>Ativos!I61</f>
        <v>0</v>
      </c>
      <c r="I61">
        <f>Ativos!S61</f>
        <v>0</v>
      </c>
      <c r="J61" t="str">
        <f ca="1">Ativos!U61</f>
        <v>Sem data</v>
      </c>
      <c r="K61" s="3" t="str">
        <f>Ativos!R61</f>
        <v/>
      </c>
    </row>
    <row r="62" spans="1:11">
      <c r="A62">
        <f>Ativos!A62</f>
        <v>0</v>
      </c>
      <c r="B62" s="2" t="str">
        <f>Ativos!N62</f>
        <v/>
      </c>
      <c r="C62" t="str">
        <f>Ativos!O62</f>
        <v/>
      </c>
      <c r="D62" t="str">
        <f>Ativos!P62</f>
        <v/>
      </c>
      <c r="E62">
        <f>Ativos!C62</f>
        <v>0</v>
      </c>
      <c r="F62">
        <f>Ativos!E62</f>
        <v>0</v>
      </c>
      <c r="G62">
        <f>Ativos!G62</f>
        <v>0</v>
      </c>
      <c r="H62">
        <f>Ativos!I62</f>
        <v>0</v>
      </c>
      <c r="I62">
        <f>Ativos!S62</f>
        <v>0</v>
      </c>
      <c r="J62" t="str">
        <f ca="1">Ativos!U62</f>
        <v>Sem data</v>
      </c>
      <c r="K62" s="3" t="str">
        <f>Ativos!R62</f>
        <v/>
      </c>
    </row>
    <row r="63" spans="1:11">
      <c r="A63">
        <f>Ativos!A63</f>
        <v>0</v>
      </c>
      <c r="B63" s="2" t="str">
        <f>Ativos!N63</f>
        <v/>
      </c>
      <c r="C63" t="str">
        <f>Ativos!O63</f>
        <v/>
      </c>
      <c r="D63" t="str">
        <f>Ativos!P63</f>
        <v/>
      </c>
      <c r="E63">
        <f>Ativos!C63</f>
        <v>0</v>
      </c>
      <c r="F63">
        <f>Ativos!E63</f>
        <v>0</v>
      </c>
      <c r="G63">
        <f>Ativos!G63</f>
        <v>0</v>
      </c>
      <c r="H63">
        <f>Ativos!I63</f>
        <v>0</v>
      </c>
      <c r="I63">
        <f>Ativos!S63</f>
        <v>0</v>
      </c>
      <c r="J63" t="str">
        <f ca="1">Ativos!U63</f>
        <v>Sem data</v>
      </c>
      <c r="K63" s="3" t="str">
        <f>Ativos!R63</f>
        <v/>
      </c>
    </row>
    <row r="64" spans="1:11">
      <c r="A64">
        <f>Ativos!A64</f>
        <v>0</v>
      </c>
      <c r="B64" s="2" t="str">
        <f>Ativos!N64</f>
        <v/>
      </c>
      <c r="C64" t="str">
        <f>Ativos!O64</f>
        <v/>
      </c>
      <c r="D64" t="str">
        <f>Ativos!P64</f>
        <v/>
      </c>
      <c r="E64">
        <f>Ativos!C64</f>
        <v>0</v>
      </c>
      <c r="F64">
        <f>Ativos!E64</f>
        <v>0</v>
      </c>
      <c r="G64">
        <f>Ativos!G64</f>
        <v>0</v>
      </c>
      <c r="H64">
        <f>Ativos!I64</f>
        <v>0</v>
      </c>
      <c r="I64">
        <f>Ativos!S64</f>
        <v>0</v>
      </c>
      <c r="J64" t="str">
        <f ca="1">Ativos!U64</f>
        <v>Sem data</v>
      </c>
      <c r="K64" s="3" t="str">
        <f>Ativos!R64</f>
        <v/>
      </c>
    </row>
    <row r="65" spans="1:11">
      <c r="A65">
        <f>Ativos!A65</f>
        <v>0</v>
      </c>
      <c r="B65" s="2" t="str">
        <f>Ativos!N65</f>
        <v/>
      </c>
      <c r="C65" t="str">
        <f>Ativos!O65</f>
        <v/>
      </c>
      <c r="D65" t="str">
        <f>Ativos!P65</f>
        <v/>
      </c>
      <c r="E65">
        <f>Ativos!C65</f>
        <v>0</v>
      </c>
      <c r="F65">
        <f>Ativos!E65</f>
        <v>0</v>
      </c>
      <c r="G65">
        <f>Ativos!G65</f>
        <v>0</v>
      </c>
      <c r="H65">
        <f>Ativos!I65</f>
        <v>0</v>
      </c>
      <c r="I65">
        <f>Ativos!S65</f>
        <v>0</v>
      </c>
      <c r="J65" t="str">
        <f ca="1">Ativos!U65</f>
        <v>Sem data</v>
      </c>
      <c r="K65" s="3" t="str">
        <f>Ativos!R65</f>
        <v/>
      </c>
    </row>
    <row r="66" spans="1:11">
      <c r="A66">
        <f>Ativos!A66</f>
        <v>0</v>
      </c>
      <c r="B66" s="2" t="str">
        <f>Ativos!N66</f>
        <v/>
      </c>
      <c r="C66" t="str">
        <f>Ativos!O66</f>
        <v/>
      </c>
      <c r="D66" t="str">
        <f>Ativos!P66</f>
        <v/>
      </c>
      <c r="E66">
        <f>Ativos!C66</f>
        <v>0</v>
      </c>
      <c r="F66">
        <f>Ativos!E66</f>
        <v>0</v>
      </c>
      <c r="G66">
        <f>Ativos!G66</f>
        <v>0</v>
      </c>
      <c r="H66">
        <f>Ativos!I66</f>
        <v>0</v>
      </c>
      <c r="I66">
        <f>Ativos!S66</f>
        <v>0</v>
      </c>
      <c r="J66" t="str">
        <f ca="1">Ativos!U66</f>
        <v>Sem data</v>
      </c>
      <c r="K66" s="3" t="str">
        <f>Ativos!R66</f>
        <v/>
      </c>
    </row>
    <row r="67" spans="1:11">
      <c r="A67">
        <f>Ativos!A67</f>
        <v>0</v>
      </c>
      <c r="B67" s="2" t="str">
        <f>Ativos!N67</f>
        <v/>
      </c>
      <c r="C67" t="str">
        <f>Ativos!O67</f>
        <v/>
      </c>
      <c r="D67" t="str">
        <f>Ativos!P67</f>
        <v/>
      </c>
      <c r="E67">
        <f>Ativos!C67</f>
        <v>0</v>
      </c>
      <c r="F67">
        <f>Ativos!E67</f>
        <v>0</v>
      </c>
      <c r="G67">
        <f>Ativos!G67</f>
        <v>0</v>
      </c>
      <c r="H67">
        <f>Ativos!I67</f>
        <v>0</v>
      </c>
      <c r="I67">
        <f>Ativos!S67</f>
        <v>0</v>
      </c>
      <c r="J67" t="str">
        <f ca="1">Ativos!U67</f>
        <v>Sem data</v>
      </c>
      <c r="K67" s="3" t="str">
        <f>Ativos!R67</f>
        <v/>
      </c>
    </row>
    <row r="68" spans="1:11">
      <c r="A68">
        <f>Ativos!A68</f>
        <v>0</v>
      </c>
      <c r="B68" s="2" t="str">
        <f>Ativos!N68</f>
        <v/>
      </c>
      <c r="C68" t="str">
        <f>Ativos!O68</f>
        <v/>
      </c>
      <c r="D68" t="str">
        <f>Ativos!P68</f>
        <v/>
      </c>
      <c r="E68">
        <f>Ativos!C68</f>
        <v>0</v>
      </c>
      <c r="F68">
        <f>Ativos!E68</f>
        <v>0</v>
      </c>
      <c r="G68">
        <f>Ativos!G68</f>
        <v>0</v>
      </c>
      <c r="H68">
        <f>Ativos!I68</f>
        <v>0</v>
      </c>
      <c r="I68">
        <f>Ativos!S68</f>
        <v>0</v>
      </c>
      <c r="J68" t="str">
        <f ca="1">Ativos!U68</f>
        <v>Sem data</v>
      </c>
      <c r="K68" s="3" t="str">
        <f>Ativos!R68</f>
        <v/>
      </c>
    </row>
    <row r="69" spans="1:11">
      <c r="A69">
        <f>Ativos!A69</f>
        <v>0</v>
      </c>
      <c r="B69" s="2" t="str">
        <f>Ativos!N69</f>
        <v/>
      </c>
      <c r="C69" t="str">
        <f>Ativos!O69</f>
        <v/>
      </c>
      <c r="D69" t="str">
        <f>Ativos!P69</f>
        <v/>
      </c>
      <c r="E69">
        <f>Ativos!C69</f>
        <v>0</v>
      </c>
      <c r="F69">
        <f>Ativos!E69</f>
        <v>0</v>
      </c>
      <c r="G69">
        <f>Ativos!G69</f>
        <v>0</v>
      </c>
      <c r="H69">
        <f>Ativos!I69</f>
        <v>0</v>
      </c>
      <c r="I69">
        <f>Ativos!S69</f>
        <v>0</v>
      </c>
      <c r="J69" t="str">
        <f ca="1">Ativos!U69</f>
        <v>Sem data</v>
      </c>
      <c r="K69" s="3" t="str">
        <f>Ativos!R69</f>
        <v/>
      </c>
    </row>
    <row r="70" spans="1:11">
      <c r="A70">
        <f>Ativos!A70</f>
        <v>0</v>
      </c>
      <c r="B70" s="2" t="str">
        <f>Ativos!N70</f>
        <v/>
      </c>
      <c r="C70" t="str">
        <f>Ativos!O70</f>
        <v/>
      </c>
      <c r="D70" t="str">
        <f>Ativos!P70</f>
        <v/>
      </c>
      <c r="E70">
        <f>Ativos!C70</f>
        <v>0</v>
      </c>
      <c r="F70">
        <f>Ativos!E70</f>
        <v>0</v>
      </c>
      <c r="G70">
        <f>Ativos!G70</f>
        <v>0</v>
      </c>
      <c r="H70">
        <f>Ativos!I70</f>
        <v>0</v>
      </c>
      <c r="I70">
        <f>Ativos!S70</f>
        <v>0</v>
      </c>
      <c r="J70" t="str">
        <f ca="1">Ativos!U70</f>
        <v>Sem data</v>
      </c>
      <c r="K70" s="3" t="str">
        <f>Ativos!R70</f>
        <v/>
      </c>
    </row>
    <row r="71" spans="1:11">
      <c r="A71">
        <f>Ativos!A71</f>
        <v>0</v>
      </c>
      <c r="B71" s="2" t="str">
        <f>Ativos!N71</f>
        <v/>
      </c>
      <c r="C71" t="str">
        <f>Ativos!O71</f>
        <v/>
      </c>
      <c r="D71" t="str">
        <f>Ativos!P71</f>
        <v/>
      </c>
      <c r="E71">
        <f>Ativos!C71</f>
        <v>0</v>
      </c>
      <c r="F71">
        <f>Ativos!E71</f>
        <v>0</v>
      </c>
      <c r="G71">
        <f>Ativos!G71</f>
        <v>0</v>
      </c>
      <c r="H71">
        <f>Ativos!I71</f>
        <v>0</v>
      </c>
      <c r="I71">
        <f>Ativos!S71</f>
        <v>0</v>
      </c>
      <c r="J71" t="str">
        <f ca="1">Ativos!U71</f>
        <v>Sem data</v>
      </c>
      <c r="K71" s="3" t="str">
        <f>Ativos!R71</f>
        <v/>
      </c>
    </row>
    <row r="72" spans="1:11">
      <c r="A72">
        <f>Ativos!A72</f>
        <v>0</v>
      </c>
      <c r="B72" s="2" t="str">
        <f>Ativos!N72</f>
        <v/>
      </c>
      <c r="C72" t="str">
        <f>Ativos!O72</f>
        <v/>
      </c>
      <c r="D72" t="str">
        <f>Ativos!P72</f>
        <v/>
      </c>
      <c r="E72">
        <f>Ativos!C72</f>
        <v>0</v>
      </c>
      <c r="F72">
        <f>Ativos!E72</f>
        <v>0</v>
      </c>
      <c r="G72">
        <f>Ativos!G72</f>
        <v>0</v>
      </c>
      <c r="H72">
        <f>Ativos!I72</f>
        <v>0</v>
      </c>
      <c r="I72">
        <f>Ativos!S72</f>
        <v>0</v>
      </c>
      <c r="J72" t="str">
        <f ca="1">Ativos!U72</f>
        <v>Sem data</v>
      </c>
      <c r="K72" s="3" t="str">
        <f>Ativos!R72</f>
        <v/>
      </c>
    </row>
    <row r="73" spans="1:11">
      <c r="A73">
        <f>Ativos!A73</f>
        <v>0</v>
      </c>
      <c r="B73" s="2" t="str">
        <f>Ativos!N73</f>
        <v/>
      </c>
      <c r="C73" t="str">
        <f>Ativos!O73</f>
        <v/>
      </c>
      <c r="D73" t="str">
        <f>Ativos!P73</f>
        <v/>
      </c>
      <c r="E73">
        <f>Ativos!C73</f>
        <v>0</v>
      </c>
      <c r="F73">
        <f>Ativos!E73</f>
        <v>0</v>
      </c>
      <c r="G73">
        <f>Ativos!G73</f>
        <v>0</v>
      </c>
      <c r="H73">
        <f>Ativos!I73</f>
        <v>0</v>
      </c>
      <c r="I73">
        <f>Ativos!S73</f>
        <v>0</v>
      </c>
      <c r="J73" t="str">
        <f ca="1">Ativos!U73</f>
        <v>Sem data</v>
      </c>
      <c r="K73" s="3" t="str">
        <f>Ativos!R73</f>
        <v/>
      </c>
    </row>
    <row r="74" spans="1:11">
      <c r="A74">
        <f>Ativos!A74</f>
        <v>0</v>
      </c>
      <c r="B74" s="2" t="str">
        <f>Ativos!N74</f>
        <v/>
      </c>
      <c r="C74" t="str">
        <f>Ativos!O74</f>
        <v/>
      </c>
      <c r="D74" t="str">
        <f>Ativos!P74</f>
        <v/>
      </c>
      <c r="E74">
        <f>Ativos!C74</f>
        <v>0</v>
      </c>
      <c r="F74">
        <f>Ativos!E74</f>
        <v>0</v>
      </c>
      <c r="G74">
        <f>Ativos!G74</f>
        <v>0</v>
      </c>
      <c r="H74">
        <f>Ativos!I74</f>
        <v>0</v>
      </c>
      <c r="I74">
        <f>Ativos!S74</f>
        <v>0</v>
      </c>
      <c r="J74" t="str">
        <f ca="1">Ativos!U74</f>
        <v>Sem data</v>
      </c>
      <c r="K74" s="3" t="str">
        <f>Ativos!R74</f>
        <v/>
      </c>
    </row>
    <row r="75" spans="1:11">
      <c r="A75">
        <f>Ativos!A75</f>
        <v>0</v>
      </c>
      <c r="B75" s="2" t="str">
        <f>Ativos!N75</f>
        <v/>
      </c>
      <c r="C75" t="str">
        <f>Ativos!O75</f>
        <v/>
      </c>
      <c r="D75" t="str">
        <f>Ativos!P75</f>
        <v/>
      </c>
      <c r="E75">
        <f>Ativos!C75</f>
        <v>0</v>
      </c>
      <c r="F75">
        <f>Ativos!E75</f>
        <v>0</v>
      </c>
      <c r="G75">
        <f>Ativos!G75</f>
        <v>0</v>
      </c>
      <c r="H75">
        <f>Ativos!I75</f>
        <v>0</v>
      </c>
      <c r="I75">
        <f>Ativos!S75</f>
        <v>0</v>
      </c>
      <c r="J75" t="str">
        <f ca="1">Ativos!U75</f>
        <v>Sem data</v>
      </c>
      <c r="K75" s="3" t="str">
        <f>Ativos!R75</f>
        <v/>
      </c>
    </row>
    <row r="76" spans="1:11">
      <c r="A76">
        <f>Ativos!A76</f>
        <v>0</v>
      </c>
      <c r="B76" s="2" t="str">
        <f>Ativos!N76</f>
        <v/>
      </c>
      <c r="C76" t="str">
        <f>Ativos!O76</f>
        <v/>
      </c>
      <c r="D76" t="str">
        <f>Ativos!P76</f>
        <v/>
      </c>
      <c r="E76">
        <f>Ativos!C76</f>
        <v>0</v>
      </c>
      <c r="F76">
        <f>Ativos!E76</f>
        <v>0</v>
      </c>
      <c r="G76">
        <f>Ativos!G76</f>
        <v>0</v>
      </c>
      <c r="H76">
        <f>Ativos!I76</f>
        <v>0</v>
      </c>
      <c r="I76">
        <f>Ativos!S76</f>
        <v>0</v>
      </c>
      <c r="J76" t="str">
        <f ca="1">Ativos!U76</f>
        <v>Sem data</v>
      </c>
      <c r="K76" s="3" t="str">
        <f>Ativos!R76</f>
        <v/>
      </c>
    </row>
    <row r="77" spans="1:11">
      <c r="A77">
        <f>Ativos!A77</f>
        <v>0</v>
      </c>
      <c r="B77" s="2" t="str">
        <f>Ativos!N77</f>
        <v/>
      </c>
      <c r="C77" t="str">
        <f>Ativos!O77</f>
        <v/>
      </c>
      <c r="D77" t="str">
        <f>Ativos!P77</f>
        <v/>
      </c>
      <c r="E77">
        <f>Ativos!C77</f>
        <v>0</v>
      </c>
      <c r="F77">
        <f>Ativos!E77</f>
        <v>0</v>
      </c>
      <c r="G77">
        <f>Ativos!G77</f>
        <v>0</v>
      </c>
      <c r="H77">
        <f>Ativos!I77</f>
        <v>0</v>
      </c>
      <c r="I77">
        <f>Ativos!S77</f>
        <v>0</v>
      </c>
      <c r="J77" t="str">
        <f ca="1">Ativos!U77</f>
        <v>Sem data</v>
      </c>
      <c r="K77" s="3" t="str">
        <f>Ativos!R77</f>
        <v/>
      </c>
    </row>
    <row r="78" spans="1:11">
      <c r="A78">
        <f>Ativos!A78</f>
        <v>0</v>
      </c>
      <c r="B78" s="2" t="str">
        <f>Ativos!N78</f>
        <v/>
      </c>
      <c r="C78" t="str">
        <f>Ativos!O78</f>
        <v/>
      </c>
      <c r="D78" t="str">
        <f>Ativos!P78</f>
        <v/>
      </c>
      <c r="E78">
        <f>Ativos!C78</f>
        <v>0</v>
      </c>
      <c r="F78">
        <f>Ativos!E78</f>
        <v>0</v>
      </c>
      <c r="G78">
        <f>Ativos!G78</f>
        <v>0</v>
      </c>
      <c r="H78">
        <f>Ativos!I78</f>
        <v>0</v>
      </c>
      <c r="I78">
        <f>Ativos!S78</f>
        <v>0</v>
      </c>
      <c r="J78" t="str">
        <f ca="1">Ativos!U78</f>
        <v>Sem data</v>
      </c>
      <c r="K78" s="3" t="str">
        <f>Ativos!R78</f>
        <v/>
      </c>
    </row>
    <row r="79" spans="1:11">
      <c r="A79">
        <f>Ativos!A79</f>
        <v>0</v>
      </c>
      <c r="B79" s="2" t="str">
        <f>Ativos!N79</f>
        <v/>
      </c>
      <c r="C79" t="str">
        <f>Ativos!O79</f>
        <v/>
      </c>
      <c r="D79" t="str">
        <f>Ativos!P79</f>
        <v/>
      </c>
      <c r="E79">
        <f>Ativos!C79</f>
        <v>0</v>
      </c>
      <c r="F79">
        <f>Ativos!E79</f>
        <v>0</v>
      </c>
      <c r="G79">
        <f>Ativos!G79</f>
        <v>0</v>
      </c>
      <c r="H79">
        <f>Ativos!I79</f>
        <v>0</v>
      </c>
      <c r="I79">
        <f>Ativos!S79</f>
        <v>0</v>
      </c>
      <c r="J79" t="str">
        <f ca="1">Ativos!U79</f>
        <v>Sem data</v>
      </c>
      <c r="K79" s="3" t="str">
        <f>Ativos!R79</f>
        <v/>
      </c>
    </row>
    <row r="80" spans="1:11">
      <c r="A80">
        <f>Ativos!A80</f>
        <v>0</v>
      </c>
      <c r="B80" s="2" t="str">
        <f>Ativos!N80</f>
        <v/>
      </c>
      <c r="C80" t="str">
        <f>Ativos!O80</f>
        <v/>
      </c>
      <c r="D80" t="str">
        <f>Ativos!P80</f>
        <v/>
      </c>
      <c r="E80">
        <f>Ativos!C80</f>
        <v>0</v>
      </c>
      <c r="F80">
        <f>Ativos!E80</f>
        <v>0</v>
      </c>
      <c r="G80">
        <f>Ativos!G80</f>
        <v>0</v>
      </c>
      <c r="H80">
        <f>Ativos!I80</f>
        <v>0</v>
      </c>
      <c r="I80">
        <f>Ativos!S80</f>
        <v>0</v>
      </c>
      <c r="J80" t="str">
        <f ca="1">Ativos!U80</f>
        <v>Sem data</v>
      </c>
      <c r="K80" s="3" t="str">
        <f>Ativos!R80</f>
        <v/>
      </c>
    </row>
    <row r="81" spans="1:11">
      <c r="A81">
        <f>Ativos!A81</f>
        <v>0</v>
      </c>
      <c r="B81" s="2" t="str">
        <f>Ativos!N81</f>
        <v/>
      </c>
      <c r="C81" t="str">
        <f>Ativos!O81</f>
        <v/>
      </c>
      <c r="D81" t="str">
        <f>Ativos!P81</f>
        <v/>
      </c>
      <c r="E81">
        <f>Ativos!C81</f>
        <v>0</v>
      </c>
      <c r="F81">
        <f>Ativos!E81</f>
        <v>0</v>
      </c>
      <c r="G81">
        <f>Ativos!G81</f>
        <v>0</v>
      </c>
      <c r="H81">
        <f>Ativos!I81</f>
        <v>0</v>
      </c>
      <c r="I81">
        <f>Ativos!S81</f>
        <v>0</v>
      </c>
      <c r="J81" t="str">
        <f ca="1">Ativos!U81</f>
        <v>Sem data</v>
      </c>
      <c r="K81" s="3" t="str">
        <f>Ativos!R81</f>
        <v/>
      </c>
    </row>
    <row r="82" spans="1:11">
      <c r="A82">
        <f>Ativos!A82</f>
        <v>0</v>
      </c>
      <c r="B82" s="2" t="str">
        <f>Ativos!N82</f>
        <v/>
      </c>
      <c r="C82" t="str">
        <f>Ativos!O82</f>
        <v/>
      </c>
      <c r="D82" t="str">
        <f>Ativos!P82</f>
        <v/>
      </c>
      <c r="E82">
        <f>Ativos!C82</f>
        <v>0</v>
      </c>
      <c r="F82">
        <f>Ativos!E82</f>
        <v>0</v>
      </c>
      <c r="G82">
        <f>Ativos!G82</f>
        <v>0</v>
      </c>
      <c r="H82">
        <f>Ativos!I82</f>
        <v>0</v>
      </c>
      <c r="I82">
        <f>Ativos!S82</f>
        <v>0</v>
      </c>
      <c r="J82" t="str">
        <f ca="1">Ativos!U82</f>
        <v>Sem data</v>
      </c>
      <c r="K82" s="3" t="str">
        <f>Ativos!R82</f>
        <v/>
      </c>
    </row>
    <row r="83" spans="1:11">
      <c r="A83">
        <f>Ativos!A83</f>
        <v>0</v>
      </c>
      <c r="B83" s="2" t="str">
        <f>Ativos!N83</f>
        <v/>
      </c>
      <c r="C83" t="str">
        <f>Ativos!O83</f>
        <v/>
      </c>
      <c r="D83" t="str">
        <f>Ativos!P83</f>
        <v/>
      </c>
      <c r="E83">
        <f>Ativos!C83</f>
        <v>0</v>
      </c>
      <c r="F83">
        <f>Ativos!E83</f>
        <v>0</v>
      </c>
      <c r="G83">
        <f>Ativos!G83</f>
        <v>0</v>
      </c>
      <c r="H83">
        <f>Ativos!I83</f>
        <v>0</v>
      </c>
      <c r="I83">
        <f>Ativos!S83</f>
        <v>0</v>
      </c>
      <c r="J83" t="str">
        <f ca="1">Ativos!U83</f>
        <v>Sem data</v>
      </c>
      <c r="K83" s="3" t="str">
        <f>Ativos!R83</f>
        <v/>
      </c>
    </row>
    <row r="84" spans="1:11">
      <c r="A84">
        <f>Ativos!A84</f>
        <v>0</v>
      </c>
      <c r="B84" s="2" t="str">
        <f>Ativos!N84</f>
        <v/>
      </c>
      <c r="C84" t="str">
        <f>Ativos!O84</f>
        <v/>
      </c>
      <c r="D84" t="str">
        <f>Ativos!P84</f>
        <v/>
      </c>
      <c r="E84">
        <f>Ativos!C84</f>
        <v>0</v>
      </c>
      <c r="F84">
        <f>Ativos!E84</f>
        <v>0</v>
      </c>
      <c r="G84">
        <f>Ativos!G84</f>
        <v>0</v>
      </c>
      <c r="H84">
        <f>Ativos!I84</f>
        <v>0</v>
      </c>
      <c r="I84">
        <f>Ativos!S84</f>
        <v>0</v>
      </c>
      <c r="J84" t="str">
        <f ca="1">Ativos!U84</f>
        <v>Sem data</v>
      </c>
      <c r="K84" s="3" t="str">
        <f>Ativos!R84</f>
        <v/>
      </c>
    </row>
    <row r="85" spans="1:11">
      <c r="A85">
        <f>Ativos!A85</f>
        <v>0</v>
      </c>
      <c r="B85" s="2" t="str">
        <f>Ativos!N85</f>
        <v/>
      </c>
      <c r="C85" t="str">
        <f>Ativos!O85</f>
        <v/>
      </c>
      <c r="D85" t="str">
        <f>Ativos!P85</f>
        <v/>
      </c>
      <c r="E85">
        <f>Ativos!C85</f>
        <v>0</v>
      </c>
      <c r="F85">
        <f>Ativos!E85</f>
        <v>0</v>
      </c>
      <c r="G85">
        <f>Ativos!G85</f>
        <v>0</v>
      </c>
      <c r="H85">
        <f>Ativos!I85</f>
        <v>0</v>
      </c>
      <c r="I85">
        <f>Ativos!S85</f>
        <v>0</v>
      </c>
      <c r="J85" t="str">
        <f ca="1">Ativos!U85</f>
        <v>Sem data</v>
      </c>
      <c r="K85" s="3" t="str">
        <f>Ativos!R85</f>
        <v/>
      </c>
    </row>
    <row r="86" spans="1:11">
      <c r="A86">
        <f>Ativos!A86</f>
        <v>0</v>
      </c>
      <c r="B86" s="2" t="str">
        <f>Ativos!N86</f>
        <v/>
      </c>
      <c r="C86" t="str">
        <f>Ativos!O86</f>
        <v/>
      </c>
      <c r="D86" t="str">
        <f>Ativos!P86</f>
        <v/>
      </c>
      <c r="E86">
        <f>Ativos!C86</f>
        <v>0</v>
      </c>
      <c r="F86">
        <f>Ativos!E86</f>
        <v>0</v>
      </c>
      <c r="G86">
        <f>Ativos!G86</f>
        <v>0</v>
      </c>
      <c r="H86">
        <f>Ativos!I86</f>
        <v>0</v>
      </c>
      <c r="I86">
        <f>Ativos!S86</f>
        <v>0</v>
      </c>
      <c r="J86" t="str">
        <f ca="1">Ativos!U86</f>
        <v>Sem data</v>
      </c>
      <c r="K86" s="3" t="str">
        <f>Ativos!R86</f>
        <v/>
      </c>
    </row>
    <row r="87" spans="1:11">
      <c r="A87">
        <f>Ativos!A87</f>
        <v>0</v>
      </c>
      <c r="B87" s="2" t="str">
        <f>Ativos!N87</f>
        <v/>
      </c>
      <c r="C87" t="str">
        <f>Ativos!O87</f>
        <v/>
      </c>
      <c r="D87" t="str">
        <f>Ativos!P87</f>
        <v/>
      </c>
      <c r="E87">
        <f>Ativos!C87</f>
        <v>0</v>
      </c>
      <c r="F87">
        <f>Ativos!E87</f>
        <v>0</v>
      </c>
      <c r="G87">
        <f>Ativos!G87</f>
        <v>0</v>
      </c>
      <c r="H87">
        <f>Ativos!I87</f>
        <v>0</v>
      </c>
      <c r="I87">
        <f>Ativos!S87</f>
        <v>0</v>
      </c>
      <c r="J87" t="str">
        <f ca="1">Ativos!U87</f>
        <v>Sem data</v>
      </c>
      <c r="K87" s="3" t="str">
        <f>Ativos!R87</f>
        <v/>
      </c>
    </row>
    <row r="88" spans="1:11">
      <c r="A88">
        <f>Ativos!A88</f>
        <v>0</v>
      </c>
      <c r="B88" s="2" t="str">
        <f>Ativos!N88</f>
        <v/>
      </c>
      <c r="C88" t="str">
        <f>Ativos!O88</f>
        <v/>
      </c>
      <c r="D88" t="str">
        <f>Ativos!P88</f>
        <v/>
      </c>
      <c r="E88">
        <f>Ativos!C88</f>
        <v>0</v>
      </c>
      <c r="F88">
        <f>Ativos!E88</f>
        <v>0</v>
      </c>
      <c r="G88">
        <f>Ativos!G88</f>
        <v>0</v>
      </c>
      <c r="H88">
        <f>Ativos!I88</f>
        <v>0</v>
      </c>
      <c r="I88">
        <f>Ativos!S88</f>
        <v>0</v>
      </c>
      <c r="J88" t="str">
        <f ca="1">Ativos!U88</f>
        <v>Sem data</v>
      </c>
      <c r="K88" s="3" t="str">
        <f>Ativos!R88</f>
        <v/>
      </c>
    </row>
    <row r="89" spans="1:11">
      <c r="A89">
        <f>Ativos!A89</f>
        <v>0</v>
      </c>
      <c r="B89" s="2" t="str">
        <f>Ativos!N89</f>
        <v/>
      </c>
      <c r="C89" t="str">
        <f>Ativos!O89</f>
        <v/>
      </c>
      <c r="D89" t="str">
        <f>Ativos!P89</f>
        <v/>
      </c>
      <c r="E89">
        <f>Ativos!C89</f>
        <v>0</v>
      </c>
      <c r="F89">
        <f>Ativos!E89</f>
        <v>0</v>
      </c>
      <c r="G89">
        <f>Ativos!G89</f>
        <v>0</v>
      </c>
      <c r="H89">
        <f>Ativos!I89</f>
        <v>0</v>
      </c>
      <c r="I89">
        <f>Ativos!S89</f>
        <v>0</v>
      </c>
      <c r="J89" t="str">
        <f ca="1">Ativos!U89</f>
        <v>Sem data</v>
      </c>
      <c r="K89" s="3" t="str">
        <f>Ativos!R89</f>
        <v/>
      </c>
    </row>
    <row r="90" spans="1:11">
      <c r="A90">
        <f>Ativos!A90</f>
        <v>0</v>
      </c>
      <c r="B90" s="2" t="str">
        <f>Ativos!N90</f>
        <v/>
      </c>
      <c r="C90" t="str">
        <f>Ativos!O90</f>
        <v/>
      </c>
      <c r="D90" t="str">
        <f>Ativos!P90</f>
        <v/>
      </c>
      <c r="E90">
        <f>Ativos!C90</f>
        <v>0</v>
      </c>
      <c r="F90">
        <f>Ativos!E90</f>
        <v>0</v>
      </c>
      <c r="G90">
        <f>Ativos!G90</f>
        <v>0</v>
      </c>
      <c r="H90">
        <f>Ativos!I90</f>
        <v>0</v>
      </c>
      <c r="I90">
        <f>Ativos!S90</f>
        <v>0</v>
      </c>
      <c r="J90" t="str">
        <f ca="1">Ativos!U90</f>
        <v>Sem data</v>
      </c>
      <c r="K90" s="3" t="str">
        <f>Ativos!R90</f>
        <v/>
      </c>
    </row>
    <row r="91" spans="1:11">
      <c r="A91">
        <f>Ativos!A91</f>
        <v>0</v>
      </c>
      <c r="B91" s="2" t="str">
        <f>Ativos!N91</f>
        <v/>
      </c>
      <c r="C91" t="str">
        <f>Ativos!O91</f>
        <v/>
      </c>
      <c r="D91" t="str">
        <f>Ativos!P91</f>
        <v/>
      </c>
      <c r="E91">
        <f>Ativos!C91</f>
        <v>0</v>
      </c>
      <c r="F91">
        <f>Ativos!E91</f>
        <v>0</v>
      </c>
      <c r="G91">
        <f>Ativos!G91</f>
        <v>0</v>
      </c>
      <c r="H91">
        <f>Ativos!I91</f>
        <v>0</v>
      </c>
      <c r="I91">
        <f>Ativos!S91</f>
        <v>0</v>
      </c>
      <c r="J91" t="str">
        <f ca="1">Ativos!U91</f>
        <v>Sem data</v>
      </c>
      <c r="K91" s="3" t="str">
        <f>Ativos!R91</f>
        <v/>
      </c>
    </row>
    <row r="92" spans="1:11">
      <c r="A92">
        <f>Ativos!A92</f>
        <v>0</v>
      </c>
      <c r="B92" s="2" t="str">
        <f>Ativos!N92</f>
        <v/>
      </c>
      <c r="C92" t="str">
        <f>Ativos!O92</f>
        <v/>
      </c>
      <c r="D92" t="str">
        <f>Ativos!P92</f>
        <v/>
      </c>
      <c r="E92">
        <f>Ativos!C92</f>
        <v>0</v>
      </c>
      <c r="F92">
        <f>Ativos!E92</f>
        <v>0</v>
      </c>
      <c r="G92">
        <f>Ativos!G92</f>
        <v>0</v>
      </c>
      <c r="H92">
        <f>Ativos!I92</f>
        <v>0</v>
      </c>
      <c r="I92">
        <f>Ativos!S92</f>
        <v>0</v>
      </c>
      <c r="J92" t="str">
        <f ca="1">Ativos!U92</f>
        <v>Sem data</v>
      </c>
      <c r="K92" s="3" t="str">
        <f>Ativos!R92</f>
        <v/>
      </c>
    </row>
    <row r="93" spans="1:11">
      <c r="A93">
        <f>Ativos!A93</f>
        <v>0</v>
      </c>
      <c r="B93" s="2" t="str">
        <f>Ativos!N93</f>
        <v/>
      </c>
      <c r="C93" t="str">
        <f>Ativos!O93</f>
        <v/>
      </c>
      <c r="D93" t="str">
        <f>Ativos!P93</f>
        <v/>
      </c>
      <c r="E93">
        <f>Ativos!C93</f>
        <v>0</v>
      </c>
      <c r="F93">
        <f>Ativos!E93</f>
        <v>0</v>
      </c>
      <c r="G93">
        <f>Ativos!G93</f>
        <v>0</v>
      </c>
      <c r="H93">
        <f>Ativos!I93</f>
        <v>0</v>
      </c>
      <c r="I93">
        <f>Ativos!S93</f>
        <v>0</v>
      </c>
      <c r="J93" t="str">
        <f ca="1">Ativos!U93</f>
        <v>Sem data</v>
      </c>
      <c r="K93" s="3" t="str">
        <f>Ativos!R93</f>
        <v/>
      </c>
    </row>
    <row r="94" spans="1:11">
      <c r="A94">
        <f>Ativos!A94</f>
        <v>0</v>
      </c>
      <c r="B94" s="2" t="str">
        <f>Ativos!N94</f>
        <v/>
      </c>
      <c r="C94" t="str">
        <f>Ativos!O94</f>
        <v/>
      </c>
      <c r="D94" t="str">
        <f>Ativos!P94</f>
        <v/>
      </c>
      <c r="E94">
        <f>Ativos!C94</f>
        <v>0</v>
      </c>
      <c r="F94">
        <f>Ativos!E94</f>
        <v>0</v>
      </c>
      <c r="G94">
        <f>Ativos!G94</f>
        <v>0</v>
      </c>
      <c r="H94">
        <f>Ativos!I94</f>
        <v>0</v>
      </c>
      <c r="I94">
        <f>Ativos!S94</f>
        <v>0</v>
      </c>
      <c r="J94" t="str">
        <f ca="1">Ativos!U94</f>
        <v>Sem data</v>
      </c>
      <c r="K94" s="3" t="str">
        <f>Ativos!R94</f>
        <v/>
      </c>
    </row>
    <row r="95" spans="1:11">
      <c r="A95">
        <f>Ativos!A95</f>
        <v>0</v>
      </c>
      <c r="B95" s="2" t="str">
        <f>Ativos!N95</f>
        <v/>
      </c>
      <c r="C95" t="str">
        <f>Ativos!O95</f>
        <v/>
      </c>
      <c r="D95" t="str">
        <f>Ativos!P95</f>
        <v/>
      </c>
      <c r="E95">
        <f>Ativos!C95</f>
        <v>0</v>
      </c>
      <c r="F95">
        <f>Ativos!E95</f>
        <v>0</v>
      </c>
      <c r="G95">
        <f>Ativos!G95</f>
        <v>0</v>
      </c>
      <c r="H95">
        <f>Ativos!I95</f>
        <v>0</v>
      </c>
      <c r="I95">
        <f>Ativos!S95</f>
        <v>0</v>
      </c>
      <c r="J95" t="str">
        <f ca="1">Ativos!U95</f>
        <v>Sem data</v>
      </c>
      <c r="K95" s="3" t="str">
        <f>Ativos!R95</f>
        <v/>
      </c>
    </row>
    <row r="96" spans="1:11">
      <c r="A96">
        <f>Ativos!A96</f>
        <v>0</v>
      </c>
      <c r="B96" s="2" t="str">
        <f>Ativos!N96</f>
        <v/>
      </c>
      <c r="C96" t="str">
        <f>Ativos!O96</f>
        <v/>
      </c>
      <c r="D96" t="str">
        <f>Ativos!P96</f>
        <v/>
      </c>
      <c r="E96">
        <f>Ativos!C96</f>
        <v>0</v>
      </c>
      <c r="F96">
        <f>Ativos!E96</f>
        <v>0</v>
      </c>
      <c r="G96">
        <f>Ativos!G96</f>
        <v>0</v>
      </c>
      <c r="H96">
        <f>Ativos!I96</f>
        <v>0</v>
      </c>
      <c r="I96">
        <f>Ativos!S96</f>
        <v>0</v>
      </c>
      <c r="J96" t="str">
        <f ca="1">Ativos!U96</f>
        <v>Sem data</v>
      </c>
      <c r="K96" s="3" t="str">
        <f>Ativos!R96</f>
        <v/>
      </c>
    </row>
    <row r="97" spans="1:11">
      <c r="A97">
        <f>Ativos!A97</f>
        <v>0</v>
      </c>
      <c r="B97" s="2" t="str">
        <f>Ativos!N97</f>
        <v/>
      </c>
      <c r="C97" t="str">
        <f>Ativos!O97</f>
        <v/>
      </c>
      <c r="D97" t="str">
        <f>Ativos!P97</f>
        <v/>
      </c>
      <c r="E97">
        <f>Ativos!C97</f>
        <v>0</v>
      </c>
      <c r="F97">
        <f>Ativos!E97</f>
        <v>0</v>
      </c>
      <c r="G97">
        <f>Ativos!G97</f>
        <v>0</v>
      </c>
      <c r="H97">
        <f>Ativos!I97</f>
        <v>0</v>
      </c>
      <c r="I97">
        <f>Ativos!S97</f>
        <v>0</v>
      </c>
      <c r="J97" t="str">
        <f ca="1">Ativos!U97</f>
        <v>Sem data</v>
      </c>
      <c r="K97" s="3" t="str">
        <f>Ativos!R97</f>
        <v/>
      </c>
    </row>
    <row r="98" spans="1:11">
      <c r="A98">
        <f>Ativos!A98</f>
        <v>0</v>
      </c>
      <c r="B98" s="2" t="str">
        <f>Ativos!N98</f>
        <v/>
      </c>
      <c r="C98" t="str">
        <f>Ativos!O98</f>
        <v/>
      </c>
      <c r="D98" t="str">
        <f>Ativos!P98</f>
        <v/>
      </c>
      <c r="E98">
        <f>Ativos!C98</f>
        <v>0</v>
      </c>
      <c r="F98">
        <f>Ativos!E98</f>
        <v>0</v>
      </c>
      <c r="G98">
        <f>Ativos!G98</f>
        <v>0</v>
      </c>
      <c r="H98">
        <f>Ativos!I98</f>
        <v>0</v>
      </c>
      <c r="I98">
        <f>Ativos!S98</f>
        <v>0</v>
      </c>
      <c r="J98" t="str">
        <f ca="1">Ativos!U98</f>
        <v>Sem data</v>
      </c>
      <c r="K98" s="3" t="str">
        <f>Ativos!R98</f>
        <v/>
      </c>
    </row>
    <row r="99" spans="1:11">
      <c r="A99">
        <f>Ativos!A99</f>
        <v>0</v>
      </c>
      <c r="B99" s="2" t="str">
        <f>Ativos!N99</f>
        <v/>
      </c>
      <c r="C99" t="str">
        <f>Ativos!O99</f>
        <v/>
      </c>
      <c r="D99" t="str">
        <f>Ativos!P99</f>
        <v/>
      </c>
      <c r="E99">
        <f>Ativos!C99</f>
        <v>0</v>
      </c>
      <c r="F99">
        <f>Ativos!E99</f>
        <v>0</v>
      </c>
      <c r="G99">
        <f>Ativos!G99</f>
        <v>0</v>
      </c>
      <c r="H99">
        <f>Ativos!I99</f>
        <v>0</v>
      </c>
      <c r="I99">
        <f>Ativos!S99</f>
        <v>0</v>
      </c>
      <c r="J99" t="str">
        <f ca="1">Ativos!U99</f>
        <v>Sem data</v>
      </c>
      <c r="K99" s="3" t="str">
        <f>Ativos!R99</f>
        <v/>
      </c>
    </row>
    <row r="100" spans="1:11">
      <c r="A100">
        <f>Ativos!A100</f>
        <v>0</v>
      </c>
      <c r="B100" s="2" t="str">
        <f>Ativos!N100</f>
        <v/>
      </c>
      <c r="C100" t="str">
        <f>Ativos!O100</f>
        <v/>
      </c>
      <c r="D100" t="str">
        <f>Ativos!P100</f>
        <v/>
      </c>
      <c r="E100">
        <f>Ativos!C100</f>
        <v>0</v>
      </c>
      <c r="F100">
        <f>Ativos!E100</f>
        <v>0</v>
      </c>
      <c r="G100">
        <f>Ativos!G100</f>
        <v>0</v>
      </c>
      <c r="H100">
        <f>Ativos!I100</f>
        <v>0</v>
      </c>
      <c r="I100">
        <f>Ativos!S100</f>
        <v>0</v>
      </c>
      <c r="J100" t="str">
        <f ca="1">Ativos!U100</f>
        <v>Sem data</v>
      </c>
      <c r="K100" s="3" t="str">
        <f>Ativos!R100</f>
        <v/>
      </c>
    </row>
    <row r="101" spans="1:11">
      <c r="A101">
        <f>Ativos!A101</f>
        <v>0</v>
      </c>
      <c r="B101" s="2" t="str">
        <f>Ativos!N101</f>
        <v/>
      </c>
      <c r="C101" t="str">
        <f>Ativos!O101</f>
        <v/>
      </c>
      <c r="D101" t="str">
        <f>Ativos!P101</f>
        <v/>
      </c>
      <c r="E101">
        <f>Ativos!C101</f>
        <v>0</v>
      </c>
      <c r="F101">
        <f>Ativos!E101</f>
        <v>0</v>
      </c>
      <c r="G101">
        <f>Ativos!G101</f>
        <v>0</v>
      </c>
      <c r="H101">
        <f>Ativos!I101</f>
        <v>0</v>
      </c>
      <c r="I101">
        <f>Ativos!S101</f>
        <v>0</v>
      </c>
      <c r="J101" t="str">
        <f ca="1">Ativos!U101</f>
        <v>Sem data</v>
      </c>
      <c r="K101" s="3" t="str">
        <f>Ativos!R101</f>
        <v/>
      </c>
    </row>
    <row r="102" spans="1:11">
      <c r="A102">
        <f>Ativos!A102</f>
        <v>0</v>
      </c>
      <c r="B102" s="2" t="str">
        <f>Ativos!N102</f>
        <v/>
      </c>
      <c r="C102" t="str">
        <f>Ativos!O102</f>
        <v/>
      </c>
      <c r="D102" t="str">
        <f>Ativos!P102</f>
        <v/>
      </c>
      <c r="E102">
        <f>Ativos!C102</f>
        <v>0</v>
      </c>
      <c r="F102">
        <f>Ativos!E102</f>
        <v>0</v>
      </c>
      <c r="G102">
        <f>Ativos!G102</f>
        <v>0</v>
      </c>
      <c r="H102">
        <f>Ativos!I102</f>
        <v>0</v>
      </c>
      <c r="I102">
        <f>Ativos!S102</f>
        <v>0</v>
      </c>
      <c r="J102" t="str">
        <f ca="1">Ativos!U102</f>
        <v>Sem data</v>
      </c>
      <c r="K102" s="3" t="str">
        <f>Ativos!R102</f>
        <v/>
      </c>
    </row>
    <row r="103" spans="1:11">
      <c r="A103">
        <f>Ativos!A103</f>
        <v>0</v>
      </c>
      <c r="B103" s="2" t="str">
        <f>Ativos!N103</f>
        <v/>
      </c>
      <c r="C103" t="str">
        <f>Ativos!O103</f>
        <v/>
      </c>
      <c r="D103" t="str">
        <f>Ativos!P103</f>
        <v/>
      </c>
      <c r="E103">
        <f>Ativos!C103</f>
        <v>0</v>
      </c>
      <c r="F103">
        <f>Ativos!E103</f>
        <v>0</v>
      </c>
      <c r="G103">
        <f>Ativos!G103</f>
        <v>0</v>
      </c>
      <c r="H103">
        <f>Ativos!I103</f>
        <v>0</v>
      </c>
      <c r="I103">
        <f>Ativos!S103</f>
        <v>0</v>
      </c>
      <c r="J103" t="str">
        <f ca="1">Ativos!U103</f>
        <v>Sem data</v>
      </c>
      <c r="K103" s="3" t="str">
        <f>Ativos!R103</f>
        <v/>
      </c>
    </row>
    <row r="104" spans="1:11">
      <c r="A104">
        <f>Ativos!A104</f>
        <v>0</v>
      </c>
      <c r="B104" s="2" t="str">
        <f>Ativos!N104</f>
        <v/>
      </c>
      <c r="C104" t="str">
        <f>Ativos!O104</f>
        <v/>
      </c>
      <c r="D104" t="str">
        <f>Ativos!P104</f>
        <v/>
      </c>
      <c r="E104">
        <f>Ativos!C104</f>
        <v>0</v>
      </c>
      <c r="F104">
        <f>Ativos!E104</f>
        <v>0</v>
      </c>
      <c r="G104">
        <f>Ativos!G104</f>
        <v>0</v>
      </c>
      <c r="H104">
        <f>Ativos!I104</f>
        <v>0</v>
      </c>
      <c r="I104">
        <f>Ativos!S104</f>
        <v>0</v>
      </c>
      <c r="J104" t="str">
        <f ca="1">Ativos!U104</f>
        <v>Sem data</v>
      </c>
      <c r="K104" s="3" t="str">
        <f>Ativos!R104</f>
        <v/>
      </c>
    </row>
    <row r="105" spans="1:11">
      <c r="A105">
        <f>Ativos!A105</f>
        <v>0</v>
      </c>
      <c r="B105" s="2" t="str">
        <f>Ativos!N105</f>
        <v/>
      </c>
      <c r="C105" t="str">
        <f>Ativos!O105</f>
        <v/>
      </c>
      <c r="D105" t="str">
        <f>Ativos!P105</f>
        <v/>
      </c>
      <c r="E105">
        <f>Ativos!C105</f>
        <v>0</v>
      </c>
      <c r="F105">
        <f>Ativos!E105</f>
        <v>0</v>
      </c>
      <c r="G105">
        <f>Ativos!G105</f>
        <v>0</v>
      </c>
      <c r="H105">
        <f>Ativos!I105</f>
        <v>0</v>
      </c>
      <c r="I105">
        <f>Ativos!S105</f>
        <v>0</v>
      </c>
      <c r="J105" t="str">
        <f ca="1">Ativos!U105</f>
        <v>Sem data</v>
      </c>
      <c r="K105" s="3" t="str">
        <f>Ativos!R105</f>
        <v/>
      </c>
    </row>
    <row r="106" spans="1:11">
      <c r="A106">
        <f>Ativos!A106</f>
        <v>0</v>
      </c>
      <c r="B106" s="2" t="str">
        <f>Ativos!N106</f>
        <v/>
      </c>
      <c r="C106" t="str">
        <f>Ativos!O106</f>
        <v/>
      </c>
      <c r="D106" t="str">
        <f>Ativos!P106</f>
        <v/>
      </c>
      <c r="E106">
        <f>Ativos!C106</f>
        <v>0</v>
      </c>
      <c r="F106">
        <f>Ativos!E106</f>
        <v>0</v>
      </c>
      <c r="G106">
        <f>Ativos!G106</f>
        <v>0</v>
      </c>
      <c r="H106">
        <f>Ativos!I106</f>
        <v>0</v>
      </c>
      <c r="I106">
        <f>Ativos!S106</f>
        <v>0</v>
      </c>
      <c r="J106" t="str">
        <f ca="1">Ativos!U106</f>
        <v>Sem data</v>
      </c>
      <c r="K106" s="3" t="str">
        <f>Ativos!R106</f>
        <v/>
      </c>
    </row>
    <row r="107" spans="1:11">
      <c r="A107">
        <f>Ativos!A107</f>
        <v>0</v>
      </c>
      <c r="B107" s="2" t="str">
        <f>Ativos!N107</f>
        <v/>
      </c>
      <c r="C107" t="str">
        <f>Ativos!O107</f>
        <v/>
      </c>
      <c r="D107" t="str">
        <f>Ativos!P107</f>
        <v/>
      </c>
      <c r="E107">
        <f>Ativos!C107</f>
        <v>0</v>
      </c>
      <c r="F107">
        <f>Ativos!E107</f>
        <v>0</v>
      </c>
      <c r="G107">
        <f>Ativos!G107</f>
        <v>0</v>
      </c>
      <c r="H107">
        <f>Ativos!I107</f>
        <v>0</v>
      </c>
      <c r="I107">
        <f>Ativos!S107</f>
        <v>0</v>
      </c>
      <c r="J107" t="str">
        <f ca="1">Ativos!U107</f>
        <v>Sem data</v>
      </c>
      <c r="K107" s="3" t="str">
        <f>Ativos!R107</f>
        <v/>
      </c>
    </row>
    <row r="108" spans="1:11">
      <c r="A108">
        <f>Ativos!A108</f>
        <v>0</v>
      </c>
      <c r="B108" s="2" t="str">
        <f>Ativos!N108</f>
        <v/>
      </c>
      <c r="C108" t="str">
        <f>Ativos!O108</f>
        <v/>
      </c>
      <c r="D108" t="str">
        <f>Ativos!P108</f>
        <v/>
      </c>
      <c r="E108">
        <f>Ativos!C108</f>
        <v>0</v>
      </c>
      <c r="F108">
        <f>Ativos!E108</f>
        <v>0</v>
      </c>
      <c r="G108">
        <f>Ativos!G108</f>
        <v>0</v>
      </c>
      <c r="H108">
        <f>Ativos!I108</f>
        <v>0</v>
      </c>
      <c r="I108">
        <f>Ativos!S108</f>
        <v>0</v>
      </c>
      <c r="J108" t="str">
        <f ca="1">Ativos!U108</f>
        <v>Sem data</v>
      </c>
      <c r="K108" s="3" t="str">
        <f>Ativos!R108</f>
        <v/>
      </c>
    </row>
    <row r="109" spans="1:11">
      <c r="A109">
        <f>Ativos!A109</f>
        <v>0</v>
      </c>
      <c r="B109" s="2" t="str">
        <f>Ativos!N109</f>
        <v/>
      </c>
      <c r="C109" t="str">
        <f>Ativos!O109</f>
        <v/>
      </c>
      <c r="D109" t="str">
        <f>Ativos!P109</f>
        <v/>
      </c>
      <c r="E109">
        <f>Ativos!C109</f>
        <v>0</v>
      </c>
      <c r="F109">
        <f>Ativos!E109</f>
        <v>0</v>
      </c>
      <c r="G109">
        <f>Ativos!G109</f>
        <v>0</v>
      </c>
      <c r="H109">
        <f>Ativos!I109</f>
        <v>0</v>
      </c>
      <c r="I109">
        <f>Ativos!S109</f>
        <v>0</v>
      </c>
      <c r="J109" t="str">
        <f ca="1">Ativos!U109</f>
        <v>Sem data</v>
      </c>
      <c r="K109" s="3" t="str">
        <f>Ativos!R109</f>
        <v/>
      </c>
    </row>
    <row r="110" spans="1:11">
      <c r="A110">
        <f>Ativos!A110</f>
        <v>0</v>
      </c>
      <c r="B110" s="2" t="str">
        <f>Ativos!N110</f>
        <v/>
      </c>
      <c r="C110" t="str">
        <f>Ativos!O110</f>
        <v/>
      </c>
      <c r="D110" t="str">
        <f>Ativos!P110</f>
        <v/>
      </c>
      <c r="E110">
        <f>Ativos!C110</f>
        <v>0</v>
      </c>
      <c r="F110">
        <f>Ativos!E110</f>
        <v>0</v>
      </c>
      <c r="G110">
        <f>Ativos!G110</f>
        <v>0</v>
      </c>
      <c r="H110">
        <f>Ativos!I110</f>
        <v>0</v>
      </c>
      <c r="I110">
        <f>Ativos!S110</f>
        <v>0</v>
      </c>
      <c r="J110" t="str">
        <f ca="1">Ativos!U110</f>
        <v>Sem data</v>
      </c>
      <c r="K110" s="3" t="str">
        <f>Ativos!R110</f>
        <v/>
      </c>
    </row>
    <row r="111" spans="1:11">
      <c r="A111">
        <f>Ativos!A111</f>
        <v>0</v>
      </c>
      <c r="B111" s="2" t="str">
        <f>Ativos!N111</f>
        <v/>
      </c>
      <c r="C111" t="str">
        <f>Ativos!O111</f>
        <v/>
      </c>
      <c r="D111" t="str">
        <f>Ativos!P111</f>
        <v/>
      </c>
      <c r="E111">
        <f>Ativos!C111</f>
        <v>0</v>
      </c>
      <c r="F111">
        <f>Ativos!E111</f>
        <v>0</v>
      </c>
      <c r="G111">
        <f>Ativos!G111</f>
        <v>0</v>
      </c>
      <c r="H111">
        <f>Ativos!I111</f>
        <v>0</v>
      </c>
      <c r="I111">
        <f>Ativos!S111</f>
        <v>0</v>
      </c>
      <c r="J111" t="str">
        <f ca="1">Ativos!U111</f>
        <v>Sem data</v>
      </c>
      <c r="K111" s="3" t="str">
        <f>Ativos!R111</f>
        <v/>
      </c>
    </row>
    <row r="112" spans="1:11">
      <c r="A112">
        <f>Ativos!A112</f>
        <v>0</v>
      </c>
      <c r="B112" s="2" t="str">
        <f>Ativos!N112</f>
        <v/>
      </c>
      <c r="C112" t="str">
        <f>Ativos!O112</f>
        <v/>
      </c>
      <c r="D112" t="str">
        <f>Ativos!P112</f>
        <v/>
      </c>
      <c r="E112">
        <f>Ativos!C112</f>
        <v>0</v>
      </c>
      <c r="F112">
        <f>Ativos!E112</f>
        <v>0</v>
      </c>
      <c r="G112">
        <f>Ativos!G112</f>
        <v>0</v>
      </c>
      <c r="H112">
        <f>Ativos!I112</f>
        <v>0</v>
      </c>
      <c r="I112">
        <f>Ativos!S112</f>
        <v>0</v>
      </c>
      <c r="J112" t="str">
        <f ca="1">Ativos!U112</f>
        <v>Sem data</v>
      </c>
      <c r="K112" s="3" t="str">
        <f>Ativos!R112</f>
        <v/>
      </c>
    </row>
    <row r="113" spans="1:11">
      <c r="A113">
        <f>Ativos!A113</f>
        <v>0</v>
      </c>
      <c r="B113" s="2" t="str">
        <f>Ativos!N113</f>
        <v/>
      </c>
      <c r="C113" t="str">
        <f>Ativos!O113</f>
        <v/>
      </c>
      <c r="D113" t="str">
        <f>Ativos!P113</f>
        <v/>
      </c>
      <c r="E113">
        <f>Ativos!C113</f>
        <v>0</v>
      </c>
      <c r="F113">
        <f>Ativos!E113</f>
        <v>0</v>
      </c>
      <c r="G113">
        <f>Ativos!G113</f>
        <v>0</v>
      </c>
      <c r="H113">
        <f>Ativos!I113</f>
        <v>0</v>
      </c>
      <c r="I113">
        <f>Ativos!S113</f>
        <v>0</v>
      </c>
      <c r="J113" t="str">
        <f ca="1">Ativos!U113</f>
        <v>Sem data</v>
      </c>
      <c r="K113" s="3" t="str">
        <f>Ativos!R113</f>
        <v/>
      </c>
    </row>
    <row r="114" spans="1:11">
      <c r="A114">
        <f>Ativos!A114</f>
        <v>0</v>
      </c>
      <c r="B114" s="2" t="str">
        <f>Ativos!N114</f>
        <v/>
      </c>
      <c r="C114" t="str">
        <f>Ativos!O114</f>
        <v/>
      </c>
      <c r="D114" t="str">
        <f>Ativos!P114</f>
        <v/>
      </c>
      <c r="E114">
        <f>Ativos!C114</f>
        <v>0</v>
      </c>
      <c r="F114">
        <f>Ativos!E114</f>
        <v>0</v>
      </c>
      <c r="G114">
        <f>Ativos!G114</f>
        <v>0</v>
      </c>
      <c r="H114">
        <f>Ativos!I114</f>
        <v>0</v>
      </c>
      <c r="I114">
        <f>Ativos!S114</f>
        <v>0</v>
      </c>
      <c r="J114" t="str">
        <f ca="1">Ativos!U114</f>
        <v>Sem data</v>
      </c>
      <c r="K114" s="3" t="str">
        <f>Ativos!R114</f>
        <v/>
      </c>
    </row>
    <row r="115" spans="1:11">
      <c r="A115">
        <f>Ativos!A115</f>
        <v>0</v>
      </c>
      <c r="B115" s="2" t="str">
        <f>Ativos!N115</f>
        <v/>
      </c>
      <c r="C115" t="str">
        <f>Ativos!O115</f>
        <v/>
      </c>
      <c r="D115" t="str">
        <f>Ativos!P115</f>
        <v/>
      </c>
      <c r="E115">
        <f>Ativos!C115</f>
        <v>0</v>
      </c>
      <c r="F115">
        <f>Ativos!E115</f>
        <v>0</v>
      </c>
      <c r="G115">
        <f>Ativos!G115</f>
        <v>0</v>
      </c>
      <c r="H115">
        <f>Ativos!I115</f>
        <v>0</v>
      </c>
      <c r="I115">
        <f>Ativos!S115</f>
        <v>0</v>
      </c>
      <c r="J115" t="str">
        <f ca="1">Ativos!U115</f>
        <v>Sem data</v>
      </c>
      <c r="K115" s="3" t="str">
        <f>Ativos!R115</f>
        <v/>
      </c>
    </row>
    <row r="116" spans="1:11">
      <c r="A116">
        <f>Ativos!A116</f>
        <v>0</v>
      </c>
      <c r="B116" s="2" t="str">
        <f>Ativos!N116</f>
        <v/>
      </c>
      <c r="C116" t="str">
        <f>Ativos!O116</f>
        <v/>
      </c>
      <c r="D116" t="str">
        <f>Ativos!P116</f>
        <v/>
      </c>
      <c r="E116">
        <f>Ativos!C116</f>
        <v>0</v>
      </c>
      <c r="F116">
        <f>Ativos!E116</f>
        <v>0</v>
      </c>
      <c r="G116">
        <f>Ativos!G116</f>
        <v>0</v>
      </c>
      <c r="H116">
        <f>Ativos!I116</f>
        <v>0</v>
      </c>
      <c r="I116">
        <f>Ativos!S116</f>
        <v>0</v>
      </c>
      <c r="J116" t="str">
        <f ca="1">Ativos!U116</f>
        <v>Sem data</v>
      </c>
      <c r="K116" s="3" t="str">
        <f>Ativos!R116</f>
        <v/>
      </c>
    </row>
    <row r="117" spans="1:11">
      <c r="A117">
        <f>Ativos!A117</f>
        <v>0</v>
      </c>
      <c r="B117" s="2" t="str">
        <f>Ativos!N117</f>
        <v/>
      </c>
      <c r="C117" t="str">
        <f>Ativos!O117</f>
        <v/>
      </c>
      <c r="D117" t="str">
        <f>Ativos!P117</f>
        <v/>
      </c>
      <c r="E117">
        <f>Ativos!C117</f>
        <v>0</v>
      </c>
      <c r="F117">
        <f>Ativos!E117</f>
        <v>0</v>
      </c>
      <c r="G117">
        <f>Ativos!G117</f>
        <v>0</v>
      </c>
      <c r="H117">
        <f>Ativos!I117</f>
        <v>0</v>
      </c>
      <c r="I117">
        <f>Ativos!S117</f>
        <v>0</v>
      </c>
      <c r="J117" t="str">
        <f ca="1">Ativos!U117</f>
        <v>Sem data</v>
      </c>
      <c r="K117" s="3" t="str">
        <f>Ativos!R117</f>
        <v/>
      </c>
    </row>
    <row r="118" spans="1:11">
      <c r="A118">
        <f>Ativos!A118</f>
        <v>0</v>
      </c>
      <c r="B118" s="2" t="str">
        <f>Ativos!N118</f>
        <v/>
      </c>
      <c r="C118" t="str">
        <f>Ativos!O118</f>
        <v/>
      </c>
      <c r="D118" t="str">
        <f>Ativos!P118</f>
        <v/>
      </c>
      <c r="E118">
        <f>Ativos!C118</f>
        <v>0</v>
      </c>
      <c r="F118">
        <f>Ativos!E118</f>
        <v>0</v>
      </c>
      <c r="G118">
        <f>Ativos!G118</f>
        <v>0</v>
      </c>
      <c r="H118">
        <f>Ativos!I118</f>
        <v>0</v>
      </c>
      <c r="I118">
        <f>Ativos!S118</f>
        <v>0</v>
      </c>
      <c r="J118" t="str">
        <f ca="1">Ativos!U118</f>
        <v>Sem data</v>
      </c>
      <c r="K118" s="3" t="str">
        <f>Ativos!R118</f>
        <v/>
      </c>
    </row>
    <row r="119" spans="1:11">
      <c r="A119">
        <f>Ativos!A119</f>
        <v>0</v>
      </c>
      <c r="B119" s="2" t="str">
        <f>Ativos!N119</f>
        <v/>
      </c>
      <c r="C119" t="str">
        <f>Ativos!O119</f>
        <v/>
      </c>
      <c r="D119" t="str">
        <f>Ativos!P119</f>
        <v/>
      </c>
      <c r="E119">
        <f>Ativos!C119</f>
        <v>0</v>
      </c>
      <c r="F119">
        <f>Ativos!E119</f>
        <v>0</v>
      </c>
      <c r="G119">
        <f>Ativos!G119</f>
        <v>0</v>
      </c>
      <c r="H119">
        <f>Ativos!I119</f>
        <v>0</v>
      </c>
      <c r="I119">
        <f>Ativos!S119</f>
        <v>0</v>
      </c>
      <c r="J119" t="str">
        <f ca="1">Ativos!U119</f>
        <v>Sem data</v>
      </c>
      <c r="K119" s="3" t="str">
        <f>Ativos!R119</f>
        <v/>
      </c>
    </row>
    <row r="120" spans="1:11">
      <c r="A120">
        <f>Ativos!A120</f>
        <v>0</v>
      </c>
      <c r="B120" s="2" t="str">
        <f>Ativos!N120</f>
        <v/>
      </c>
      <c r="C120" t="str">
        <f>Ativos!O120</f>
        <v/>
      </c>
      <c r="D120" t="str">
        <f>Ativos!P120</f>
        <v/>
      </c>
      <c r="E120">
        <f>Ativos!C120</f>
        <v>0</v>
      </c>
      <c r="F120">
        <f>Ativos!E120</f>
        <v>0</v>
      </c>
      <c r="G120">
        <f>Ativos!G120</f>
        <v>0</v>
      </c>
      <c r="H120">
        <f>Ativos!I120</f>
        <v>0</v>
      </c>
      <c r="I120">
        <f>Ativos!S120</f>
        <v>0</v>
      </c>
      <c r="J120" t="str">
        <f ca="1">Ativos!U120</f>
        <v>Sem data</v>
      </c>
      <c r="K120" s="3" t="str">
        <f>Ativos!R120</f>
        <v/>
      </c>
    </row>
    <row r="121" spans="1:11">
      <c r="A121">
        <f>Ativos!A121</f>
        <v>0</v>
      </c>
      <c r="B121" s="2" t="str">
        <f>Ativos!N121</f>
        <v/>
      </c>
      <c r="C121" t="str">
        <f>Ativos!O121</f>
        <v/>
      </c>
      <c r="D121" t="str">
        <f>Ativos!P121</f>
        <v/>
      </c>
      <c r="E121">
        <f>Ativos!C121</f>
        <v>0</v>
      </c>
      <c r="F121">
        <f>Ativos!E121</f>
        <v>0</v>
      </c>
      <c r="G121">
        <f>Ativos!G121</f>
        <v>0</v>
      </c>
      <c r="H121">
        <f>Ativos!I121</f>
        <v>0</v>
      </c>
      <c r="I121">
        <f>Ativos!S121</f>
        <v>0</v>
      </c>
      <c r="J121" t="str">
        <f ca="1">Ativos!U121</f>
        <v>Sem data</v>
      </c>
      <c r="K121" s="3" t="str">
        <f>Ativos!R121</f>
        <v/>
      </c>
    </row>
    <row r="122" spans="1:11">
      <c r="A122">
        <f>Ativos!A122</f>
        <v>0</v>
      </c>
      <c r="B122" s="2" t="str">
        <f>Ativos!N122</f>
        <v/>
      </c>
      <c r="C122" t="str">
        <f>Ativos!O122</f>
        <v/>
      </c>
      <c r="D122" t="str">
        <f>Ativos!P122</f>
        <v/>
      </c>
      <c r="E122">
        <f>Ativos!C122</f>
        <v>0</v>
      </c>
      <c r="F122">
        <f>Ativos!E122</f>
        <v>0</v>
      </c>
      <c r="G122">
        <f>Ativos!G122</f>
        <v>0</v>
      </c>
      <c r="H122">
        <f>Ativos!I122</f>
        <v>0</v>
      </c>
      <c r="I122">
        <f>Ativos!S122</f>
        <v>0</v>
      </c>
      <c r="J122" t="str">
        <f ca="1">Ativos!U122</f>
        <v>Sem data</v>
      </c>
      <c r="K122" s="3" t="str">
        <f>Ativos!R122</f>
        <v/>
      </c>
    </row>
    <row r="123" spans="1:11">
      <c r="A123">
        <f>Ativos!A123</f>
        <v>0</v>
      </c>
      <c r="B123" s="2" t="str">
        <f>Ativos!N123</f>
        <v/>
      </c>
      <c r="C123" t="str">
        <f>Ativos!O123</f>
        <v/>
      </c>
      <c r="D123" t="str">
        <f>Ativos!P123</f>
        <v/>
      </c>
      <c r="E123">
        <f>Ativos!C123</f>
        <v>0</v>
      </c>
      <c r="F123">
        <f>Ativos!E123</f>
        <v>0</v>
      </c>
      <c r="G123">
        <f>Ativos!G123</f>
        <v>0</v>
      </c>
      <c r="H123">
        <f>Ativos!I123</f>
        <v>0</v>
      </c>
      <c r="I123">
        <f>Ativos!S123</f>
        <v>0</v>
      </c>
      <c r="J123" t="str">
        <f ca="1">Ativos!U123</f>
        <v>Sem data</v>
      </c>
      <c r="K123" s="3" t="str">
        <f>Ativos!R123</f>
        <v/>
      </c>
    </row>
    <row r="124" spans="1:11">
      <c r="A124">
        <f>Ativos!A124</f>
        <v>0</v>
      </c>
      <c r="B124" s="2" t="str">
        <f>Ativos!N124</f>
        <v/>
      </c>
      <c r="C124" t="str">
        <f>Ativos!O124</f>
        <v/>
      </c>
      <c r="D124" t="str">
        <f>Ativos!P124</f>
        <v/>
      </c>
      <c r="E124">
        <f>Ativos!C124</f>
        <v>0</v>
      </c>
      <c r="F124">
        <f>Ativos!E124</f>
        <v>0</v>
      </c>
      <c r="G124">
        <f>Ativos!G124</f>
        <v>0</v>
      </c>
      <c r="H124">
        <f>Ativos!I124</f>
        <v>0</v>
      </c>
      <c r="I124">
        <f>Ativos!S124</f>
        <v>0</v>
      </c>
      <c r="J124" t="str">
        <f ca="1">Ativos!U124</f>
        <v>Sem data</v>
      </c>
      <c r="K124" s="3" t="str">
        <f>Ativos!R124</f>
        <v/>
      </c>
    </row>
    <row r="125" spans="1:11">
      <c r="A125">
        <f>Ativos!A125</f>
        <v>0</v>
      </c>
      <c r="B125" s="2" t="str">
        <f>Ativos!N125</f>
        <v/>
      </c>
      <c r="C125" t="str">
        <f>Ativos!O125</f>
        <v/>
      </c>
      <c r="D125" t="str">
        <f>Ativos!P125</f>
        <v/>
      </c>
      <c r="E125">
        <f>Ativos!C125</f>
        <v>0</v>
      </c>
      <c r="F125">
        <f>Ativos!E125</f>
        <v>0</v>
      </c>
      <c r="G125">
        <f>Ativos!G125</f>
        <v>0</v>
      </c>
      <c r="H125">
        <f>Ativos!I125</f>
        <v>0</v>
      </c>
      <c r="I125">
        <f>Ativos!S125</f>
        <v>0</v>
      </c>
      <c r="J125" t="str">
        <f ca="1">Ativos!U125</f>
        <v>Sem data</v>
      </c>
      <c r="K125" s="3" t="str">
        <f>Ativos!R125</f>
        <v/>
      </c>
    </row>
    <row r="126" spans="1:11">
      <c r="A126">
        <f>Ativos!A126</f>
        <v>0</v>
      </c>
      <c r="B126" s="2" t="str">
        <f>Ativos!N126</f>
        <v/>
      </c>
      <c r="C126" t="str">
        <f>Ativos!O126</f>
        <v/>
      </c>
      <c r="D126" t="str">
        <f>Ativos!P126</f>
        <v/>
      </c>
      <c r="E126">
        <f>Ativos!C126</f>
        <v>0</v>
      </c>
      <c r="F126">
        <f>Ativos!E126</f>
        <v>0</v>
      </c>
      <c r="G126">
        <f>Ativos!G126</f>
        <v>0</v>
      </c>
      <c r="H126">
        <f>Ativos!I126</f>
        <v>0</v>
      </c>
      <c r="I126">
        <f>Ativos!S126</f>
        <v>0</v>
      </c>
      <c r="J126" t="str">
        <f ca="1">Ativos!U126</f>
        <v>Sem data</v>
      </c>
      <c r="K126" s="3" t="str">
        <f>Ativos!R126</f>
        <v/>
      </c>
    </row>
    <row r="127" spans="1:11">
      <c r="A127">
        <f>Ativos!A127</f>
        <v>0</v>
      </c>
      <c r="B127" s="2" t="str">
        <f>Ativos!N127</f>
        <v/>
      </c>
      <c r="C127" t="str">
        <f>Ativos!O127</f>
        <v/>
      </c>
      <c r="D127" t="str">
        <f>Ativos!P127</f>
        <v/>
      </c>
      <c r="E127">
        <f>Ativos!C127</f>
        <v>0</v>
      </c>
      <c r="F127">
        <f>Ativos!E127</f>
        <v>0</v>
      </c>
      <c r="G127">
        <f>Ativos!G127</f>
        <v>0</v>
      </c>
      <c r="H127">
        <f>Ativos!I127</f>
        <v>0</v>
      </c>
      <c r="I127">
        <f>Ativos!S127</f>
        <v>0</v>
      </c>
      <c r="J127" t="str">
        <f ca="1">Ativos!U127</f>
        <v>Sem data</v>
      </c>
      <c r="K127" s="3" t="str">
        <f>Ativos!R127</f>
        <v/>
      </c>
    </row>
    <row r="128" spans="1:11">
      <c r="A128">
        <f>Ativos!A128</f>
        <v>0</v>
      </c>
      <c r="B128" s="2" t="str">
        <f>Ativos!N128</f>
        <v/>
      </c>
      <c r="C128" t="str">
        <f>Ativos!O128</f>
        <v/>
      </c>
      <c r="D128" t="str">
        <f>Ativos!P128</f>
        <v/>
      </c>
      <c r="E128">
        <f>Ativos!C128</f>
        <v>0</v>
      </c>
      <c r="F128">
        <f>Ativos!E128</f>
        <v>0</v>
      </c>
      <c r="G128">
        <f>Ativos!G128</f>
        <v>0</v>
      </c>
      <c r="H128">
        <f>Ativos!I128</f>
        <v>0</v>
      </c>
      <c r="I128">
        <f>Ativos!S128</f>
        <v>0</v>
      </c>
      <c r="J128" t="str">
        <f ca="1">Ativos!U128</f>
        <v>Sem data</v>
      </c>
      <c r="K128" s="3" t="str">
        <f>Ativos!R128</f>
        <v/>
      </c>
    </row>
    <row r="129" spans="1:11">
      <c r="A129">
        <f>Ativos!A129</f>
        <v>0</v>
      </c>
      <c r="B129" s="2" t="str">
        <f>Ativos!N129</f>
        <v/>
      </c>
      <c r="C129" t="str">
        <f>Ativos!O129</f>
        <v/>
      </c>
      <c r="D129" t="str">
        <f>Ativos!P129</f>
        <v/>
      </c>
      <c r="E129">
        <f>Ativos!C129</f>
        <v>0</v>
      </c>
      <c r="F129">
        <f>Ativos!E129</f>
        <v>0</v>
      </c>
      <c r="G129">
        <f>Ativos!G129</f>
        <v>0</v>
      </c>
      <c r="H129">
        <f>Ativos!I129</f>
        <v>0</v>
      </c>
      <c r="I129">
        <f>Ativos!S129</f>
        <v>0</v>
      </c>
      <c r="J129" t="str">
        <f ca="1">Ativos!U129</f>
        <v>Sem data</v>
      </c>
      <c r="K129" s="3" t="str">
        <f>Ativos!R129</f>
        <v/>
      </c>
    </row>
    <row r="130" spans="1:11">
      <c r="A130">
        <f>Ativos!A130</f>
        <v>0</v>
      </c>
      <c r="B130" s="2" t="str">
        <f>Ativos!N130</f>
        <v/>
      </c>
      <c r="C130" t="str">
        <f>Ativos!O130</f>
        <v/>
      </c>
      <c r="D130" t="str">
        <f>Ativos!P130</f>
        <v/>
      </c>
      <c r="E130">
        <f>Ativos!C130</f>
        <v>0</v>
      </c>
      <c r="F130">
        <f>Ativos!E130</f>
        <v>0</v>
      </c>
      <c r="G130">
        <f>Ativos!G130</f>
        <v>0</v>
      </c>
      <c r="H130">
        <f>Ativos!I130</f>
        <v>0</v>
      </c>
      <c r="I130">
        <f>Ativos!S130</f>
        <v>0</v>
      </c>
      <c r="J130" t="str">
        <f ca="1">Ativos!U130</f>
        <v>Sem data</v>
      </c>
      <c r="K130" s="3" t="str">
        <f>Ativos!R130</f>
        <v/>
      </c>
    </row>
    <row r="131" spans="1:11">
      <c r="A131">
        <f>Ativos!A131</f>
        <v>0</v>
      </c>
      <c r="B131" s="2" t="str">
        <f>Ativos!N131</f>
        <v/>
      </c>
      <c r="C131" t="str">
        <f>Ativos!O131</f>
        <v/>
      </c>
      <c r="D131" t="str">
        <f>Ativos!P131</f>
        <v/>
      </c>
      <c r="E131">
        <f>Ativos!C131</f>
        <v>0</v>
      </c>
      <c r="F131">
        <f>Ativos!E131</f>
        <v>0</v>
      </c>
      <c r="G131">
        <f>Ativos!G131</f>
        <v>0</v>
      </c>
      <c r="H131">
        <f>Ativos!I131</f>
        <v>0</v>
      </c>
      <c r="I131">
        <f>Ativos!S131</f>
        <v>0</v>
      </c>
      <c r="J131" t="str">
        <f ca="1">Ativos!U131</f>
        <v>Sem data</v>
      </c>
      <c r="K131" s="3" t="str">
        <f>Ativos!R131</f>
        <v/>
      </c>
    </row>
    <row r="132" spans="1:11">
      <c r="A132">
        <f>Ativos!A132</f>
        <v>0</v>
      </c>
      <c r="B132" s="2" t="str">
        <f>Ativos!N132</f>
        <v/>
      </c>
      <c r="C132" t="str">
        <f>Ativos!O132</f>
        <v/>
      </c>
      <c r="D132" t="str">
        <f>Ativos!P132</f>
        <v/>
      </c>
      <c r="E132">
        <f>Ativos!C132</f>
        <v>0</v>
      </c>
      <c r="F132">
        <f>Ativos!E132</f>
        <v>0</v>
      </c>
      <c r="G132">
        <f>Ativos!G132</f>
        <v>0</v>
      </c>
      <c r="H132">
        <f>Ativos!I132</f>
        <v>0</v>
      </c>
      <c r="I132">
        <f>Ativos!S132</f>
        <v>0</v>
      </c>
      <c r="J132" t="str">
        <f ca="1">Ativos!U132</f>
        <v>Sem data</v>
      </c>
      <c r="K132" s="3" t="str">
        <f>Ativos!R132</f>
        <v/>
      </c>
    </row>
    <row r="133" spans="1:11">
      <c r="A133">
        <f>Ativos!A133</f>
        <v>0</v>
      </c>
      <c r="B133" s="2" t="str">
        <f>Ativos!N133</f>
        <v/>
      </c>
      <c r="C133" t="str">
        <f>Ativos!O133</f>
        <v/>
      </c>
      <c r="D133" t="str">
        <f>Ativos!P133</f>
        <v/>
      </c>
      <c r="E133">
        <f>Ativos!C133</f>
        <v>0</v>
      </c>
      <c r="F133">
        <f>Ativos!E133</f>
        <v>0</v>
      </c>
      <c r="G133">
        <f>Ativos!G133</f>
        <v>0</v>
      </c>
      <c r="H133">
        <f>Ativos!I133</f>
        <v>0</v>
      </c>
      <c r="I133">
        <f>Ativos!S133</f>
        <v>0</v>
      </c>
      <c r="J133" t="str">
        <f ca="1">Ativos!U133</f>
        <v>Sem data</v>
      </c>
      <c r="K133" s="3" t="str">
        <f>Ativos!R133</f>
        <v/>
      </c>
    </row>
    <row r="134" spans="1:11">
      <c r="A134">
        <f>Ativos!A134</f>
        <v>0</v>
      </c>
      <c r="B134" s="2" t="str">
        <f>Ativos!N134</f>
        <v/>
      </c>
      <c r="C134" t="str">
        <f>Ativos!O134</f>
        <v/>
      </c>
      <c r="D134" t="str">
        <f>Ativos!P134</f>
        <v/>
      </c>
      <c r="E134">
        <f>Ativos!C134</f>
        <v>0</v>
      </c>
      <c r="F134">
        <f>Ativos!E134</f>
        <v>0</v>
      </c>
      <c r="G134">
        <f>Ativos!G134</f>
        <v>0</v>
      </c>
      <c r="H134">
        <f>Ativos!I134</f>
        <v>0</v>
      </c>
      <c r="I134">
        <f>Ativos!S134</f>
        <v>0</v>
      </c>
      <c r="J134" t="str">
        <f ca="1">Ativos!U134</f>
        <v>Sem data</v>
      </c>
      <c r="K134" s="3" t="str">
        <f>Ativos!R134</f>
        <v/>
      </c>
    </row>
    <row r="135" spans="1:11">
      <c r="A135">
        <f>Ativos!A135</f>
        <v>0</v>
      </c>
      <c r="B135" s="2" t="str">
        <f>Ativos!N135</f>
        <v/>
      </c>
      <c r="C135" t="str">
        <f>Ativos!O135</f>
        <v/>
      </c>
      <c r="D135" t="str">
        <f>Ativos!P135</f>
        <v/>
      </c>
      <c r="E135">
        <f>Ativos!C135</f>
        <v>0</v>
      </c>
      <c r="F135">
        <f>Ativos!E135</f>
        <v>0</v>
      </c>
      <c r="G135">
        <f>Ativos!G135</f>
        <v>0</v>
      </c>
      <c r="H135">
        <f>Ativos!I135</f>
        <v>0</v>
      </c>
      <c r="I135">
        <f>Ativos!S135</f>
        <v>0</v>
      </c>
      <c r="J135" t="str">
        <f ca="1">Ativos!U135</f>
        <v>Sem data</v>
      </c>
      <c r="K135" s="3" t="str">
        <f>Ativos!R135</f>
        <v/>
      </c>
    </row>
    <row r="136" spans="1:11">
      <c r="A136">
        <f>Ativos!A136</f>
        <v>0</v>
      </c>
      <c r="B136" s="2" t="str">
        <f>Ativos!N136</f>
        <v/>
      </c>
      <c r="C136" t="str">
        <f>Ativos!O136</f>
        <v/>
      </c>
      <c r="D136" t="str">
        <f>Ativos!P136</f>
        <v/>
      </c>
      <c r="E136">
        <f>Ativos!C136</f>
        <v>0</v>
      </c>
      <c r="F136">
        <f>Ativos!E136</f>
        <v>0</v>
      </c>
      <c r="G136">
        <f>Ativos!G136</f>
        <v>0</v>
      </c>
      <c r="H136">
        <f>Ativos!I136</f>
        <v>0</v>
      </c>
      <c r="I136">
        <f>Ativos!S136</f>
        <v>0</v>
      </c>
      <c r="J136" t="str">
        <f ca="1">Ativos!U136</f>
        <v>Sem data</v>
      </c>
      <c r="K136" s="3" t="str">
        <f>Ativos!R136</f>
        <v/>
      </c>
    </row>
    <row r="137" spans="1:11">
      <c r="A137">
        <f>Ativos!A137</f>
        <v>0</v>
      </c>
      <c r="B137" s="2" t="str">
        <f>Ativos!N137</f>
        <v/>
      </c>
      <c r="C137" t="str">
        <f>Ativos!O137</f>
        <v/>
      </c>
      <c r="D137" t="str">
        <f>Ativos!P137</f>
        <v/>
      </c>
      <c r="E137">
        <f>Ativos!C137</f>
        <v>0</v>
      </c>
      <c r="F137">
        <f>Ativos!E137</f>
        <v>0</v>
      </c>
      <c r="G137">
        <f>Ativos!G137</f>
        <v>0</v>
      </c>
      <c r="H137">
        <f>Ativos!I137</f>
        <v>0</v>
      </c>
      <c r="I137">
        <f>Ativos!S137</f>
        <v>0</v>
      </c>
      <c r="J137" t="str">
        <f ca="1">Ativos!U137</f>
        <v>Sem data</v>
      </c>
      <c r="K137" s="3" t="str">
        <f>Ativos!R137</f>
        <v/>
      </c>
    </row>
    <row r="138" spans="1:11">
      <c r="A138">
        <f>Ativos!A138</f>
        <v>0</v>
      </c>
      <c r="B138" s="2" t="str">
        <f>Ativos!N138</f>
        <v/>
      </c>
      <c r="C138" t="str">
        <f>Ativos!O138</f>
        <v/>
      </c>
      <c r="D138" t="str">
        <f>Ativos!P138</f>
        <v/>
      </c>
      <c r="E138">
        <f>Ativos!C138</f>
        <v>0</v>
      </c>
      <c r="F138">
        <f>Ativos!E138</f>
        <v>0</v>
      </c>
      <c r="G138">
        <f>Ativos!G138</f>
        <v>0</v>
      </c>
      <c r="H138">
        <f>Ativos!I138</f>
        <v>0</v>
      </c>
      <c r="I138">
        <f>Ativos!S138</f>
        <v>0</v>
      </c>
      <c r="J138" t="str">
        <f ca="1">Ativos!U138</f>
        <v>Sem data</v>
      </c>
      <c r="K138" s="3" t="str">
        <f>Ativos!R138</f>
        <v/>
      </c>
    </row>
    <row r="139" spans="1:11">
      <c r="A139">
        <f>Ativos!A139</f>
        <v>0</v>
      </c>
      <c r="B139" s="2" t="str">
        <f>Ativos!N139</f>
        <v/>
      </c>
      <c r="C139" t="str">
        <f>Ativos!O139</f>
        <v/>
      </c>
      <c r="D139" t="str">
        <f>Ativos!P139</f>
        <v/>
      </c>
      <c r="E139">
        <f>Ativos!C139</f>
        <v>0</v>
      </c>
      <c r="F139">
        <f>Ativos!E139</f>
        <v>0</v>
      </c>
      <c r="G139">
        <f>Ativos!G139</f>
        <v>0</v>
      </c>
      <c r="H139">
        <f>Ativos!I139</f>
        <v>0</v>
      </c>
      <c r="I139">
        <f>Ativos!S139</f>
        <v>0</v>
      </c>
      <c r="J139" t="str">
        <f ca="1">Ativos!U139</f>
        <v>Sem data</v>
      </c>
      <c r="K139" s="3" t="str">
        <f>Ativos!R139</f>
        <v/>
      </c>
    </row>
    <row r="140" spans="1:11">
      <c r="A140">
        <f>Ativos!A140</f>
        <v>0</v>
      </c>
      <c r="B140" s="2" t="str">
        <f>Ativos!N140</f>
        <v/>
      </c>
      <c r="C140" t="str">
        <f>Ativos!O140</f>
        <v/>
      </c>
      <c r="D140" t="str">
        <f>Ativos!P140</f>
        <v/>
      </c>
      <c r="E140">
        <f>Ativos!C140</f>
        <v>0</v>
      </c>
      <c r="F140">
        <f>Ativos!E140</f>
        <v>0</v>
      </c>
      <c r="G140">
        <f>Ativos!G140</f>
        <v>0</v>
      </c>
      <c r="H140">
        <f>Ativos!I140</f>
        <v>0</v>
      </c>
      <c r="I140">
        <f>Ativos!S140</f>
        <v>0</v>
      </c>
      <c r="J140" t="str">
        <f ca="1">Ativos!U140</f>
        <v>Sem data</v>
      </c>
      <c r="K140" s="3" t="str">
        <f>Ativos!R140</f>
        <v/>
      </c>
    </row>
    <row r="141" spans="1:11">
      <c r="A141">
        <f>Ativos!A141</f>
        <v>0</v>
      </c>
      <c r="B141" s="2" t="str">
        <f>Ativos!N141</f>
        <v/>
      </c>
      <c r="C141" t="str">
        <f>Ativos!O141</f>
        <v/>
      </c>
      <c r="D141" t="str">
        <f>Ativos!P141</f>
        <v/>
      </c>
      <c r="E141">
        <f>Ativos!C141</f>
        <v>0</v>
      </c>
      <c r="F141">
        <f>Ativos!E141</f>
        <v>0</v>
      </c>
      <c r="G141">
        <f>Ativos!G141</f>
        <v>0</v>
      </c>
      <c r="H141">
        <f>Ativos!I141</f>
        <v>0</v>
      </c>
      <c r="I141">
        <f>Ativos!S141</f>
        <v>0</v>
      </c>
      <c r="J141" t="str">
        <f ca="1">Ativos!U141</f>
        <v>Sem data</v>
      </c>
      <c r="K141" s="3" t="str">
        <f>Ativos!R141</f>
        <v/>
      </c>
    </row>
    <row r="142" spans="1:11">
      <c r="A142">
        <f>Ativos!A142</f>
        <v>0</v>
      </c>
      <c r="B142" s="2" t="str">
        <f>Ativos!N142</f>
        <v/>
      </c>
      <c r="C142" t="str">
        <f>Ativos!O142</f>
        <v/>
      </c>
      <c r="D142" t="str">
        <f>Ativos!P142</f>
        <v/>
      </c>
      <c r="E142">
        <f>Ativos!C142</f>
        <v>0</v>
      </c>
      <c r="F142">
        <f>Ativos!E142</f>
        <v>0</v>
      </c>
      <c r="G142">
        <f>Ativos!G142</f>
        <v>0</v>
      </c>
      <c r="H142">
        <f>Ativos!I142</f>
        <v>0</v>
      </c>
      <c r="I142">
        <f>Ativos!S142</f>
        <v>0</v>
      </c>
      <c r="J142" t="str">
        <f ca="1">Ativos!U142</f>
        <v>Sem data</v>
      </c>
      <c r="K142" s="3" t="str">
        <f>Ativos!R142</f>
        <v/>
      </c>
    </row>
    <row r="143" spans="1:11">
      <c r="A143">
        <f>Ativos!A143</f>
        <v>0</v>
      </c>
      <c r="B143" s="2" t="str">
        <f>Ativos!N143</f>
        <v/>
      </c>
      <c r="C143" t="str">
        <f>Ativos!O143</f>
        <v/>
      </c>
      <c r="D143" t="str">
        <f>Ativos!P143</f>
        <v/>
      </c>
      <c r="E143">
        <f>Ativos!C143</f>
        <v>0</v>
      </c>
      <c r="F143">
        <f>Ativos!E143</f>
        <v>0</v>
      </c>
      <c r="G143">
        <f>Ativos!G143</f>
        <v>0</v>
      </c>
      <c r="H143">
        <f>Ativos!I143</f>
        <v>0</v>
      </c>
      <c r="I143">
        <f>Ativos!S143</f>
        <v>0</v>
      </c>
      <c r="J143" t="str">
        <f ca="1">Ativos!U143</f>
        <v>Sem data</v>
      </c>
      <c r="K143" s="3" t="str">
        <f>Ativos!R143</f>
        <v/>
      </c>
    </row>
    <row r="144" spans="1:11">
      <c r="A144">
        <f>Ativos!A144</f>
        <v>0</v>
      </c>
      <c r="B144" s="2" t="str">
        <f>Ativos!N144</f>
        <v/>
      </c>
      <c r="C144" t="str">
        <f>Ativos!O144</f>
        <v/>
      </c>
      <c r="D144" t="str">
        <f>Ativos!P144</f>
        <v/>
      </c>
      <c r="E144">
        <f>Ativos!C144</f>
        <v>0</v>
      </c>
      <c r="F144">
        <f>Ativos!E144</f>
        <v>0</v>
      </c>
      <c r="G144">
        <f>Ativos!G144</f>
        <v>0</v>
      </c>
      <c r="H144">
        <f>Ativos!I144</f>
        <v>0</v>
      </c>
      <c r="I144">
        <f>Ativos!S144</f>
        <v>0</v>
      </c>
      <c r="J144" t="str">
        <f ca="1">Ativos!U144</f>
        <v>Sem data</v>
      </c>
      <c r="K144" s="3" t="str">
        <f>Ativos!R144</f>
        <v/>
      </c>
    </row>
    <row r="145" spans="1:11">
      <c r="A145">
        <f>Ativos!A145</f>
        <v>0</v>
      </c>
      <c r="B145" s="2" t="str">
        <f>Ativos!N145</f>
        <v/>
      </c>
      <c r="C145" t="str">
        <f>Ativos!O145</f>
        <v/>
      </c>
      <c r="D145" t="str">
        <f>Ativos!P145</f>
        <v/>
      </c>
      <c r="E145">
        <f>Ativos!C145</f>
        <v>0</v>
      </c>
      <c r="F145">
        <f>Ativos!E145</f>
        <v>0</v>
      </c>
      <c r="G145">
        <f>Ativos!G145</f>
        <v>0</v>
      </c>
      <c r="H145">
        <f>Ativos!I145</f>
        <v>0</v>
      </c>
      <c r="I145">
        <f>Ativos!S145</f>
        <v>0</v>
      </c>
      <c r="J145" t="str">
        <f ca="1">Ativos!U145</f>
        <v>Sem data</v>
      </c>
      <c r="K145" s="3" t="str">
        <f>Ativos!R145</f>
        <v/>
      </c>
    </row>
    <row r="146" spans="1:11">
      <c r="A146">
        <f>Ativos!A146</f>
        <v>0</v>
      </c>
      <c r="B146" s="2" t="str">
        <f>Ativos!N146</f>
        <v/>
      </c>
      <c r="C146" t="str">
        <f>Ativos!O146</f>
        <v/>
      </c>
      <c r="D146" t="str">
        <f>Ativos!P146</f>
        <v/>
      </c>
      <c r="E146">
        <f>Ativos!C146</f>
        <v>0</v>
      </c>
      <c r="F146">
        <f>Ativos!E146</f>
        <v>0</v>
      </c>
      <c r="G146">
        <f>Ativos!G146</f>
        <v>0</v>
      </c>
      <c r="H146">
        <f>Ativos!I146</f>
        <v>0</v>
      </c>
      <c r="I146">
        <f>Ativos!S146</f>
        <v>0</v>
      </c>
      <c r="J146" t="str">
        <f ca="1">Ativos!U146</f>
        <v>Sem data</v>
      </c>
      <c r="K146" s="3" t="str">
        <f>Ativos!R146</f>
        <v/>
      </c>
    </row>
    <row r="147" spans="1:11">
      <c r="A147">
        <f>Ativos!A147</f>
        <v>0</v>
      </c>
      <c r="B147" s="2" t="str">
        <f>Ativos!N147</f>
        <v/>
      </c>
      <c r="C147" t="str">
        <f>Ativos!O147</f>
        <v/>
      </c>
      <c r="D147" t="str">
        <f>Ativos!P147</f>
        <v/>
      </c>
      <c r="E147">
        <f>Ativos!C147</f>
        <v>0</v>
      </c>
      <c r="F147">
        <f>Ativos!E147</f>
        <v>0</v>
      </c>
      <c r="G147">
        <f>Ativos!G147</f>
        <v>0</v>
      </c>
      <c r="H147">
        <f>Ativos!I147</f>
        <v>0</v>
      </c>
      <c r="I147">
        <f>Ativos!S147</f>
        <v>0</v>
      </c>
      <c r="J147" t="str">
        <f ca="1">Ativos!U147</f>
        <v>Sem data</v>
      </c>
      <c r="K147" s="3" t="str">
        <f>Ativos!R147</f>
        <v/>
      </c>
    </row>
    <row r="148" spans="1:11">
      <c r="A148">
        <f>Ativos!A148</f>
        <v>0</v>
      </c>
      <c r="B148" s="2" t="str">
        <f>Ativos!N148</f>
        <v/>
      </c>
      <c r="C148" t="str">
        <f>Ativos!O148</f>
        <v/>
      </c>
      <c r="D148" t="str">
        <f>Ativos!P148</f>
        <v/>
      </c>
      <c r="E148">
        <f>Ativos!C148</f>
        <v>0</v>
      </c>
      <c r="F148">
        <f>Ativos!E148</f>
        <v>0</v>
      </c>
      <c r="G148">
        <f>Ativos!G148</f>
        <v>0</v>
      </c>
      <c r="H148">
        <f>Ativos!I148</f>
        <v>0</v>
      </c>
      <c r="I148">
        <f>Ativos!S148</f>
        <v>0</v>
      </c>
      <c r="J148" t="str">
        <f ca="1">Ativos!U148</f>
        <v>Sem data</v>
      </c>
      <c r="K148" s="3" t="str">
        <f>Ativos!R148</f>
        <v/>
      </c>
    </row>
    <row r="149" spans="1:11">
      <c r="A149">
        <f>Ativos!A149</f>
        <v>0</v>
      </c>
      <c r="B149" s="2" t="str">
        <f>Ativos!N149</f>
        <v/>
      </c>
      <c r="C149" t="str">
        <f>Ativos!O149</f>
        <v/>
      </c>
      <c r="D149" t="str">
        <f>Ativos!P149</f>
        <v/>
      </c>
      <c r="E149">
        <f>Ativos!C149</f>
        <v>0</v>
      </c>
      <c r="F149">
        <f>Ativos!E149</f>
        <v>0</v>
      </c>
      <c r="G149">
        <f>Ativos!G149</f>
        <v>0</v>
      </c>
      <c r="H149">
        <f>Ativos!I149</f>
        <v>0</v>
      </c>
      <c r="I149">
        <f>Ativos!S149</f>
        <v>0</v>
      </c>
      <c r="J149" t="str">
        <f ca="1">Ativos!U149</f>
        <v>Sem data</v>
      </c>
      <c r="K149" s="3" t="str">
        <f>Ativos!R149</f>
        <v/>
      </c>
    </row>
    <row r="150" spans="1:11">
      <c r="A150">
        <f>Ativos!A150</f>
        <v>0</v>
      </c>
      <c r="B150" s="2" t="str">
        <f>Ativos!N150</f>
        <v/>
      </c>
      <c r="C150" t="str">
        <f>Ativos!O150</f>
        <v/>
      </c>
      <c r="D150" t="str">
        <f>Ativos!P150</f>
        <v/>
      </c>
      <c r="E150">
        <f>Ativos!C150</f>
        <v>0</v>
      </c>
      <c r="F150">
        <f>Ativos!E150</f>
        <v>0</v>
      </c>
      <c r="G150">
        <f>Ativos!G150</f>
        <v>0</v>
      </c>
      <c r="H150">
        <f>Ativos!I150</f>
        <v>0</v>
      </c>
      <c r="I150">
        <f>Ativos!S150</f>
        <v>0</v>
      </c>
      <c r="J150" t="str">
        <f ca="1">Ativos!U150</f>
        <v>Sem data</v>
      </c>
      <c r="K150" s="3" t="str">
        <f>Ativos!R150</f>
        <v/>
      </c>
    </row>
    <row r="151" spans="1:11">
      <c r="A151">
        <f>Ativos!A151</f>
        <v>0</v>
      </c>
      <c r="B151" s="2" t="str">
        <f>Ativos!N151</f>
        <v/>
      </c>
      <c r="C151" t="str">
        <f>Ativos!O151</f>
        <v/>
      </c>
      <c r="D151" t="str">
        <f>Ativos!P151</f>
        <v/>
      </c>
      <c r="E151">
        <f>Ativos!C151</f>
        <v>0</v>
      </c>
      <c r="F151">
        <f>Ativos!E151</f>
        <v>0</v>
      </c>
      <c r="G151">
        <f>Ativos!G151</f>
        <v>0</v>
      </c>
      <c r="H151">
        <f>Ativos!I151</f>
        <v>0</v>
      </c>
      <c r="I151">
        <f>Ativos!S151</f>
        <v>0</v>
      </c>
      <c r="J151" t="str">
        <f ca="1">Ativos!U151</f>
        <v>Sem data</v>
      </c>
      <c r="K151" s="3" t="str">
        <f>Ativos!R151</f>
        <v/>
      </c>
    </row>
    <row r="152" spans="1:11">
      <c r="A152">
        <f>Ativos!A152</f>
        <v>0</v>
      </c>
      <c r="B152" s="2" t="str">
        <f>Ativos!N152</f>
        <v/>
      </c>
      <c r="C152" t="str">
        <f>Ativos!O152</f>
        <v/>
      </c>
      <c r="D152" t="str">
        <f>Ativos!P152</f>
        <v/>
      </c>
      <c r="E152">
        <f>Ativos!C152</f>
        <v>0</v>
      </c>
      <c r="F152">
        <f>Ativos!E152</f>
        <v>0</v>
      </c>
      <c r="G152">
        <f>Ativos!G152</f>
        <v>0</v>
      </c>
      <c r="H152">
        <f>Ativos!I152</f>
        <v>0</v>
      </c>
      <c r="I152">
        <f>Ativos!S152</f>
        <v>0</v>
      </c>
      <c r="J152" t="str">
        <f ca="1">Ativos!U152</f>
        <v>Sem data</v>
      </c>
      <c r="K152" s="3" t="str">
        <f>Ativos!R152</f>
        <v/>
      </c>
    </row>
    <row r="153" spans="1:11">
      <c r="A153">
        <f>Ativos!A153</f>
        <v>0</v>
      </c>
      <c r="B153" s="2" t="str">
        <f>Ativos!N153</f>
        <v/>
      </c>
      <c r="C153" t="str">
        <f>Ativos!O153</f>
        <v/>
      </c>
      <c r="D153" t="str">
        <f>Ativos!P153</f>
        <v/>
      </c>
      <c r="E153">
        <f>Ativos!C153</f>
        <v>0</v>
      </c>
      <c r="F153">
        <f>Ativos!E153</f>
        <v>0</v>
      </c>
      <c r="G153">
        <f>Ativos!G153</f>
        <v>0</v>
      </c>
      <c r="H153">
        <f>Ativos!I153</f>
        <v>0</v>
      </c>
      <c r="I153">
        <f>Ativos!S153</f>
        <v>0</v>
      </c>
      <c r="J153" t="str">
        <f ca="1">Ativos!U153</f>
        <v>Sem data</v>
      </c>
      <c r="K153" s="3" t="str">
        <f>Ativos!R153</f>
        <v/>
      </c>
    </row>
    <row r="154" spans="1:11">
      <c r="A154">
        <f>Ativos!A154</f>
        <v>0</v>
      </c>
      <c r="B154" s="2" t="str">
        <f>Ativos!N154</f>
        <v/>
      </c>
      <c r="C154" t="str">
        <f>Ativos!O154</f>
        <v/>
      </c>
      <c r="D154" t="str">
        <f>Ativos!P154</f>
        <v/>
      </c>
      <c r="E154">
        <f>Ativos!C154</f>
        <v>0</v>
      </c>
      <c r="F154">
        <f>Ativos!E154</f>
        <v>0</v>
      </c>
      <c r="G154">
        <f>Ativos!G154</f>
        <v>0</v>
      </c>
      <c r="H154">
        <f>Ativos!I154</f>
        <v>0</v>
      </c>
      <c r="I154">
        <f>Ativos!S154</f>
        <v>0</v>
      </c>
      <c r="J154" t="str">
        <f ca="1">Ativos!U154</f>
        <v>Sem data</v>
      </c>
      <c r="K154" s="3" t="str">
        <f>Ativos!R154</f>
        <v/>
      </c>
    </row>
    <row r="155" spans="1:11">
      <c r="A155">
        <f>Ativos!A155</f>
        <v>0</v>
      </c>
      <c r="B155" s="2" t="str">
        <f>Ativos!N155</f>
        <v/>
      </c>
      <c r="C155" t="str">
        <f>Ativos!O155</f>
        <v/>
      </c>
      <c r="D155" t="str">
        <f>Ativos!P155</f>
        <v/>
      </c>
      <c r="E155">
        <f>Ativos!C155</f>
        <v>0</v>
      </c>
      <c r="F155">
        <f>Ativos!E155</f>
        <v>0</v>
      </c>
      <c r="G155">
        <f>Ativos!G155</f>
        <v>0</v>
      </c>
      <c r="H155">
        <f>Ativos!I155</f>
        <v>0</v>
      </c>
      <c r="I155">
        <f>Ativos!S155</f>
        <v>0</v>
      </c>
      <c r="J155" t="str">
        <f ca="1">Ativos!U155</f>
        <v>Sem data</v>
      </c>
      <c r="K155" s="3" t="str">
        <f>Ativos!R155</f>
        <v/>
      </c>
    </row>
    <row r="156" spans="1:11">
      <c r="A156">
        <f>Ativos!A156</f>
        <v>0</v>
      </c>
      <c r="B156" s="2" t="str">
        <f>Ativos!N156</f>
        <v/>
      </c>
      <c r="C156" t="str">
        <f>Ativos!O156</f>
        <v/>
      </c>
      <c r="D156" t="str">
        <f>Ativos!P156</f>
        <v/>
      </c>
      <c r="E156">
        <f>Ativos!C156</f>
        <v>0</v>
      </c>
      <c r="F156">
        <f>Ativos!E156</f>
        <v>0</v>
      </c>
      <c r="G156">
        <f>Ativos!G156</f>
        <v>0</v>
      </c>
      <c r="H156">
        <f>Ativos!I156</f>
        <v>0</v>
      </c>
      <c r="I156">
        <f>Ativos!S156</f>
        <v>0</v>
      </c>
      <c r="J156" t="str">
        <f ca="1">Ativos!U156</f>
        <v>Sem data</v>
      </c>
      <c r="K156" s="3" t="str">
        <f>Ativos!R156</f>
        <v/>
      </c>
    </row>
    <row r="157" spans="1:11">
      <c r="A157">
        <f>Ativos!A157</f>
        <v>0</v>
      </c>
      <c r="B157" s="2" t="str">
        <f>Ativos!N157</f>
        <v/>
      </c>
      <c r="C157" t="str">
        <f>Ativos!O157</f>
        <v/>
      </c>
      <c r="D157" t="str">
        <f>Ativos!P157</f>
        <v/>
      </c>
      <c r="E157">
        <f>Ativos!C157</f>
        <v>0</v>
      </c>
      <c r="F157">
        <f>Ativos!E157</f>
        <v>0</v>
      </c>
      <c r="G157">
        <f>Ativos!G157</f>
        <v>0</v>
      </c>
      <c r="H157">
        <f>Ativos!I157</f>
        <v>0</v>
      </c>
      <c r="I157">
        <f>Ativos!S157</f>
        <v>0</v>
      </c>
      <c r="J157" t="str">
        <f ca="1">Ativos!U157</f>
        <v>Sem data</v>
      </c>
      <c r="K157" s="3" t="str">
        <f>Ativos!R157</f>
        <v/>
      </c>
    </row>
    <row r="158" spans="1:11">
      <c r="A158">
        <f>Ativos!A158</f>
        <v>0</v>
      </c>
      <c r="B158" s="2" t="str">
        <f>Ativos!N158</f>
        <v/>
      </c>
      <c r="C158" t="str">
        <f>Ativos!O158</f>
        <v/>
      </c>
      <c r="D158" t="str">
        <f>Ativos!P158</f>
        <v/>
      </c>
      <c r="E158">
        <f>Ativos!C158</f>
        <v>0</v>
      </c>
      <c r="F158">
        <f>Ativos!E158</f>
        <v>0</v>
      </c>
      <c r="G158">
        <f>Ativos!G158</f>
        <v>0</v>
      </c>
      <c r="H158">
        <f>Ativos!I158</f>
        <v>0</v>
      </c>
      <c r="I158">
        <f>Ativos!S158</f>
        <v>0</v>
      </c>
      <c r="J158" t="str">
        <f ca="1">Ativos!U158</f>
        <v>Sem data</v>
      </c>
      <c r="K158" s="3" t="str">
        <f>Ativos!R158</f>
        <v/>
      </c>
    </row>
    <row r="159" spans="1:11">
      <c r="A159">
        <f>Ativos!A159</f>
        <v>0</v>
      </c>
      <c r="B159" s="2" t="str">
        <f>Ativos!N159</f>
        <v/>
      </c>
      <c r="C159" t="str">
        <f>Ativos!O159</f>
        <v/>
      </c>
      <c r="D159" t="str">
        <f>Ativos!P159</f>
        <v/>
      </c>
      <c r="E159">
        <f>Ativos!C159</f>
        <v>0</v>
      </c>
      <c r="F159">
        <f>Ativos!E159</f>
        <v>0</v>
      </c>
      <c r="G159">
        <f>Ativos!G159</f>
        <v>0</v>
      </c>
      <c r="H159">
        <f>Ativos!I159</f>
        <v>0</v>
      </c>
      <c r="I159">
        <f>Ativos!S159</f>
        <v>0</v>
      </c>
      <c r="J159" t="str">
        <f ca="1">Ativos!U159</f>
        <v>Sem data</v>
      </c>
      <c r="K159" s="3" t="str">
        <f>Ativos!R159</f>
        <v/>
      </c>
    </row>
    <row r="160" spans="1:11">
      <c r="A160">
        <f>Ativos!A160</f>
        <v>0</v>
      </c>
      <c r="B160" s="2" t="str">
        <f>Ativos!N160</f>
        <v/>
      </c>
      <c r="C160" t="str">
        <f>Ativos!O160</f>
        <v/>
      </c>
      <c r="D160" t="str">
        <f>Ativos!P160</f>
        <v/>
      </c>
      <c r="E160">
        <f>Ativos!C160</f>
        <v>0</v>
      </c>
      <c r="F160">
        <f>Ativos!E160</f>
        <v>0</v>
      </c>
      <c r="G160">
        <f>Ativos!G160</f>
        <v>0</v>
      </c>
      <c r="H160">
        <f>Ativos!I160</f>
        <v>0</v>
      </c>
      <c r="I160">
        <f>Ativos!S160</f>
        <v>0</v>
      </c>
      <c r="J160" t="str">
        <f ca="1">Ativos!U160</f>
        <v>Sem data</v>
      </c>
      <c r="K160" s="3" t="str">
        <f>Ativos!R160</f>
        <v/>
      </c>
    </row>
    <row r="161" spans="1:11">
      <c r="A161">
        <f>Ativos!A161</f>
        <v>0</v>
      </c>
      <c r="B161" s="2" t="str">
        <f>Ativos!N161</f>
        <v/>
      </c>
      <c r="C161" t="str">
        <f>Ativos!O161</f>
        <v/>
      </c>
      <c r="D161" t="str">
        <f>Ativos!P161</f>
        <v/>
      </c>
      <c r="E161">
        <f>Ativos!C161</f>
        <v>0</v>
      </c>
      <c r="F161">
        <f>Ativos!E161</f>
        <v>0</v>
      </c>
      <c r="G161">
        <f>Ativos!G161</f>
        <v>0</v>
      </c>
      <c r="H161">
        <f>Ativos!I161</f>
        <v>0</v>
      </c>
      <c r="I161">
        <f>Ativos!S161</f>
        <v>0</v>
      </c>
      <c r="J161" t="str">
        <f ca="1">Ativos!U161</f>
        <v>Sem data</v>
      </c>
      <c r="K161" s="3" t="str">
        <f>Ativos!R161</f>
        <v/>
      </c>
    </row>
    <row r="162" spans="1:11">
      <c r="A162">
        <f>Ativos!A162</f>
        <v>0</v>
      </c>
      <c r="B162" s="2" t="str">
        <f>Ativos!N162</f>
        <v/>
      </c>
      <c r="C162" t="str">
        <f>Ativos!O162</f>
        <v/>
      </c>
      <c r="D162" t="str">
        <f>Ativos!P162</f>
        <v/>
      </c>
      <c r="E162">
        <f>Ativos!C162</f>
        <v>0</v>
      </c>
      <c r="F162">
        <f>Ativos!E162</f>
        <v>0</v>
      </c>
      <c r="G162">
        <f>Ativos!G162</f>
        <v>0</v>
      </c>
      <c r="H162">
        <f>Ativos!I162</f>
        <v>0</v>
      </c>
      <c r="I162">
        <f>Ativos!S162</f>
        <v>0</v>
      </c>
      <c r="J162" t="str">
        <f ca="1">Ativos!U162</f>
        <v>Sem data</v>
      </c>
      <c r="K162" s="3" t="str">
        <f>Ativos!R162</f>
        <v/>
      </c>
    </row>
    <row r="163" spans="1:11">
      <c r="A163">
        <f>Ativos!A163</f>
        <v>0</v>
      </c>
      <c r="B163" s="2" t="str">
        <f>Ativos!N163</f>
        <v/>
      </c>
      <c r="C163" t="str">
        <f>Ativos!O163</f>
        <v/>
      </c>
      <c r="D163" t="str">
        <f>Ativos!P163</f>
        <v/>
      </c>
      <c r="E163">
        <f>Ativos!C163</f>
        <v>0</v>
      </c>
      <c r="F163">
        <f>Ativos!E163</f>
        <v>0</v>
      </c>
      <c r="G163">
        <f>Ativos!G163</f>
        <v>0</v>
      </c>
      <c r="H163">
        <f>Ativos!I163</f>
        <v>0</v>
      </c>
      <c r="I163">
        <f>Ativos!S163</f>
        <v>0</v>
      </c>
      <c r="J163" t="str">
        <f ca="1">Ativos!U163</f>
        <v>Sem data</v>
      </c>
      <c r="K163" s="3" t="str">
        <f>Ativos!R163</f>
        <v/>
      </c>
    </row>
    <row r="164" spans="1:11">
      <c r="A164">
        <f>Ativos!A164</f>
        <v>0</v>
      </c>
      <c r="B164" s="2" t="str">
        <f>Ativos!N164</f>
        <v/>
      </c>
      <c r="C164" t="str">
        <f>Ativos!O164</f>
        <v/>
      </c>
      <c r="D164" t="str">
        <f>Ativos!P164</f>
        <v/>
      </c>
      <c r="E164">
        <f>Ativos!C164</f>
        <v>0</v>
      </c>
      <c r="F164">
        <f>Ativos!E164</f>
        <v>0</v>
      </c>
      <c r="G164">
        <f>Ativos!G164</f>
        <v>0</v>
      </c>
      <c r="H164">
        <f>Ativos!I164</f>
        <v>0</v>
      </c>
      <c r="I164">
        <f>Ativos!S164</f>
        <v>0</v>
      </c>
      <c r="J164" t="str">
        <f ca="1">Ativos!U164</f>
        <v>Sem data</v>
      </c>
      <c r="K164" s="3" t="str">
        <f>Ativos!R164</f>
        <v/>
      </c>
    </row>
    <row r="165" spans="1:11">
      <c r="A165">
        <f>Ativos!A165</f>
        <v>0</v>
      </c>
      <c r="B165" s="2" t="str">
        <f>Ativos!N165</f>
        <v/>
      </c>
      <c r="C165" t="str">
        <f>Ativos!O165</f>
        <v/>
      </c>
      <c r="D165" t="str">
        <f>Ativos!P165</f>
        <v/>
      </c>
      <c r="E165">
        <f>Ativos!C165</f>
        <v>0</v>
      </c>
      <c r="F165">
        <f>Ativos!E165</f>
        <v>0</v>
      </c>
      <c r="G165">
        <f>Ativos!G165</f>
        <v>0</v>
      </c>
      <c r="H165">
        <f>Ativos!I165</f>
        <v>0</v>
      </c>
      <c r="I165">
        <f>Ativos!S165</f>
        <v>0</v>
      </c>
      <c r="J165" t="str">
        <f ca="1">Ativos!U165</f>
        <v>Sem data</v>
      </c>
      <c r="K165" s="3" t="str">
        <f>Ativos!R165</f>
        <v/>
      </c>
    </row>
    <row r="166" spans="1:11">
      <c r="A166">
        <f>Ativos!A166</f>
        <v>0</v>
      </c>
      <c r="B166" s="2" t="str">
        <f>Ativos!N166</f>
        <v/>
      </c>
      <c r="C166" t="str">
        <f>Ativos!O166</f>
        <v/>
      </c>
      <c r="D166" t="str">
        <f>Ativos!P166</f>
        <v/>
      </c>
      <c r="E166">
        <f>Ativos!C166</f>
        <v>0</v>
      </c>
      <c r="F166">
        <f>Ativos!E166</f>
        <v>0</v>
      </c>
      <c r="G166">
        <f>Ativos!G166</f>
        <v>0</v>
      </c>
      <c r="H166">
        <f>Ativos!I166</f>
        <v>0</v>
      </c>
      <c r="I166">
        <f>Ativos!S166</f>
        <v>0</v>
      </c>
      <c r="J166" t="str">
        <f ca="1">Ativos!U166</f>
        <v>Sem data</v>
      </c>
      <c r="K166" s="3" t="str">
        <f>Ativos!R166</f>
        <v/>
      </c>
    </row>
    <row r="167" spans="1:11">
      <c r="A167">
        <f>Ativos!A167</f>
        <v>0</v>
      </c>
      <c r="B167" s="2" t="str">
        <f>Ativos!N167</f>
        <v/>
      </c>
      <c r="C167" t="str">
        <f>Ativos!O167</f>
        <v/>
      </c>
      <c r="D167" t="str">
        <f>Ativos!P167</f>
        <v/>
      </c>
      <c r="E167">
        <f>Ativos!C167</f>
        <v>0</v>
      </c>
      <c r="F167">
        <f>Ativos!E167</f>
        <v>0</v>
      </c>
      <c r="G167">
        <f>Ativos!G167</f>
        <v>0</v>
      </c>
      <c r="H167">
        <f>Ativos!I167</f>
        <v>0</v>
      </c>
      <c r="I167">
        <f>Ativos!S167</f>
        <v>0</v>
      </c>
      <c r="J167" t="str">
        <f ca="1">Ativos!U167</f>
        <v>Sem data</v>
      </c>
      <c r="K167" s="3" t="str">
        <f>Ativos!R167</f>
        <v/>
      </c>
    </row>
    <row r="168" spans="1:11">
      <c r="A168">
        <f>Ativos!A168</f>
        <v>0</v>
      </c>
      <c r="B168" s="2" t="str">
        <f>Ativos!N168</f>
        <v/>
      </c>
      <c r="C168" t="str">
        <f>Ativos!O168</f>
        <v/>
      </c>
      <c r="D168" t="str">
        <f>Ativos!P168</f>
        <v/>
      </c>
      <c r="E168">
        <f>Ativos!C168</f>
        <v>0</v>
      </c>
      <c r="F168">
        <f>Ativos!E168</f>
        <v>0</v>
      </c>
      <c r="G168">
        <f>Ativos!G168</f>
        <v>0</v>
      </c>
      <c r="H168">
        <f>Ativos!I168</f>
        <v>0</v>
      </c>
      <c r="I168">
        <f>Ativos!S168</f>
        <v>0</v>
      </c>
      <c r="J168" t="str">
        <f ca="1">Ativos!U168</f>
        <v>Sem data</v>
      </c>
      <c r="K168" s="3" t="str">
        <f>Ativos!R168</f>
        <v/>
      </c>
    </row>
    <row r="169" spans="1:11">
      <c r="A169">
        <f>Ativos!A169</f>
        <v>0</v>
      </c>
      <c r="B169" s="2" t="str">
        <f>Ativos!N169</f>
        <v/>
      </c>
      <c r="C169" t="str">
        <f>Ativos!O169</f>
        <v/>
      </c>
      <c r="D169" t="str">
        <f>Ativos!P169</f>
        <v/>
      </c>
      <c r="E169">
        <f>Ativos!C169</f>
        <v>0</v>
      </c>
      <c r="F169">
        <f>Ativos!E169</f>
        <v>0</v>
      </c>
      <c r="G169">
        <f>Ativos!G169</f>
        <v>0</v>
      </c>
      <c r="H169">
        <f>Ativos!I169</f>
        <v>0</v>
      </c>
      <c r="I169">
        <f>Ativos!S169</f>
        <v>0</v>
      </c>
      <c r="J169" t="str">
        <f ca="1">Ativos!U169</f>
        <v>Sem data</v>
      </c>
      <c r="K169" s="3" t="str">
        <f>Ativos!R169</f>
        <v/>
      </c>
    </row>
    <row r="170" spans="1:11">
      <c r="A170">
        <f>Ativos!A170</f>
        <v>0</v>
      </c>
      <c r="B170" s="2" t="str">
        <f>Ativos!N170</f>
        <v/>
      </c>
      <c r="C170" t="str">
        <f>Ativos!O170</f>
        <v/>
      </c>
      <c r="D170" t="str">
        <f>Ativos!P170</f>
        <v/>
      </c>
      <c r="E170">
        <f>Ativos!C170</f>
        <v>0</v>
      </c>
      <c r="F170">
        <f>Ativos!E170</f>
        <v>0</v>
      </c>
      <c r="G170">
        <f>Ativos!G170</f>
        <v>0</v>
      </c>
      <c r="H170">
        <f>Ativos!I170</f>
        <v>0</v>
      </c>
      <c r="I170">
        <f>Ativos!S170</f>
        <v>0</v>
      </c>
      <c r="J170" t="str">
        <f ca="1">Ativos!U170</f>
        <v>Sem data</v>
      </c>
      <c r="K170" s="3" t="str">
        <f>Ativos!R170</f>
        <v/>
      </c>
    </row>
    <row r="171" spans="1:11">
      <c r="A171">
        <f>Ativos!A171</f>
        <v>0</v>
      </c>
      <c r="B171" s="2" t="str">
        <f>Ativos!N171</f>
        <v/>
      </c>
      <c r="C171" t="str">
        <f>Ativos!O171</f>
        <v/>
      </c>
      <c r="D171" t="str">
        <f>Ativos!P171</f>
        <v/>
      </c>
      <c r="E171">
        <f>Ativos!C171</f>
        <v>0</v>
      </c>
      <c r="F171">
        <f>Ativos!E171</f>
        <v>0</v>
      </c>
      <c r="G171">
        <f>Ativos!G171</f>
        <v>0</v>
      </c>
      <c r="H171">
        <f>Ativos!I171</f>
        <v>0</v>
      </c>
      <c r="I171">
        <f>Ativos!S171</f>
        <v>0</v>
      </c>
      <c r="J171" t="str">
        <f ca="1">Ativos!U171</f>
        <v>Sem data</v>
      </c>
      <c r="K171" s="3" t="str">
        <f>Ativos!R171</f>
        <v/>
      </c>
    </row>
    <row r="172" spans="1:11">
      <c r="A172">
        <f>Ativos!A172</f>
        <v>0</v>
      </c>
      <c r="B172" s="2" t="str">
        <f>Ativos!N172</f>
        <v/>
      </c>
      <c r="C172" t="str">
        <f>Ativos!O172</f>
        <v/>
      </c>
      <c r="D172" t="str">
        <f>Ativos!P172</f>
        <v/>
      </c>
      <c r="E172">
        <f>Ativos!C172</f>
        <v>0</v>
      </c>
      <c r="F172">
        <f>Ativos!E172</f>
        <v>0</v>
      </c>
      <c r="G172">
        <f>Ativos!G172</f>
        <v>0</v>
      </c>
      <c r="H172">
        <f>Ativos!I172</f>
        <v>0</v>
      </c>
      <c r="I172">
        <f>Ativos!S172</f>
        <v>0</v>
      </c>
      <c r="J172" t="str">
        <f ca="1">Ativos!U172</f>
        <v>Sem data</v>
      </c>
      <c r="K172" s="3" t="str">
        <f>Ativos!R172</f>
        <v/>
      </c>
    </row>
    <row r="173" spans="1:11">
      <c r="A173">
        <f>Ativos!A173</f>
        <v>0</v>
      </c>
      <c r="B173" s="2" t="str">
        <f>Ativos!N173</f>
        <v/>
      </c>
      <c r="C173" t="str">
        <f>Ativos!O173</f>
        <v/>
      </c>
      <c r="D173" t="str">
        <f>Ativos!P173</f>
        <v/>
      </c>
      <c r="E173">
        <f>Ativos!C173</f>
        <v>0</v>
      </c>
      <c r="F173">
        <f>Ativos!E173</f>
        <v>0</v>
      </c>
      <c r="G173">
        <f>Ativos!G173</f>
        <v>0</v>
      </c>
      <c r="H173">
        <f>Ativos!I173</f>
        <v>0</v>
      </c>
      <c r="I173">
        <f>Ativos!S173</f>
        <v>0</v>
      </c>
      <c r="J173" t="str">
        <f ca="1">Ativos!U173</f>
        <v>Sem data</v>
      </c>
      <c r="K173" s="3" t="str">
        <f>Ativos!R173</f>
        <v/>
      </c>
    </row>
    <row r="174" spans="1:11">
      <c r="A174">
        <f>Ativos!A174</f>
        <v>0</v>
      </c>
      <c r="B174" s="2" t="str">
        <f>Ativos!N174</f>
        <v/>
      </c>
      <c r="C174" t="str">
        <f>Ativos!O174</f>
        <v/>
      </c>
      <c r="D174" t="str">
        <f>Ativos!P174</f>
        <v/>
      </c>
      <c r="E174">
        <f>Ativos!C174</f>
        <v>0</v>
      </c>
      <c r="F174">
        <f>Ativos!E174</f>
        <v>0</v>
      </c>
      <c r="G174">
        <f>Ativos!G174</f>
        <v>0</v>
      </c>
      <c r="H174">
        <f>Ativos!I174</f>
        <v>0</v>
      </c>
      <c r="I174">
        <f>Ativos!S174</f>
        <v>0</v>
      </c>
      <c r="J174" t="str">
        <f ca="1">Ativos!U174</f>
        <v>Sem data</v>
      </c>
      <c r="K174" s="3" t="str">
        <f>Ativos!R174</f>
        <v/>
      </c>
    </row>
    <row r="175" spans="1:11">
      <c r="A175">
        <f>Ativos!A175</f>
        <v>0</v>
      </c>
      <c r="B175" s="2" t="str">
        <f>Ativos!N175</f>
        <v/>
      </c>
      <c r="C175" t="str">
        <f>Ativos!O175</f>
        <v/>
      </c>
      <c r="D175" t="str">
        <f>Ativos!P175</f>
        <v/>
      </c>
      <c r="E175">
        <f>Ativos!C175</f>
        <v>0</v>
      </c>
      <c r="F175">
        <f>Ativos!E175</f>
        <v>0</v>
      </c>
      <c r="G175">
        <f>Ativos!G175</f>
        <v>0</v>
      </c>
      <c r="H175">
        <f>Ativos!I175</f>
        <v>0</v>
      </c>
      <c r="I175">
        <f>Ativos!S175</f>
        <v>0</v>
      </c>
      <c r="J175" t="str">
        <f ca="1">Ativos!U175</f>
        <v>Sem data</v>
      </c>
      <c r="K175" s="3" t="str">
        <f>Ativos!R175</f>
        <v/>
      </c>
    </row>
    <row r="176" spans="1:11">
      <c r="A176">
        <f>Ativos!A176</f>
        <v>0</v>
      </c>
      <c r="B176" s="2" t="str">
        <f>Ativos!N176</f>
        <v/>
      </c>
      <c r="C176" t="str">
        <f>Ativos!O176</f>
        <v/>
      </c>
      <c r="D176" t="str">
        <f>Ativos!P176</f>
        <v/>
      </c>
      <c r="E176">
        <f>Ativos!C176</f>
        <v>0</v>
      </c>
      <c r="F176">
        <f>Ativos!E176</f>
        <v>0</v>
      </c>
      <c r="G176">
        <f>Ativos!G176</f>
        <v>0</v>
      </c>
      <c r="H176">
        <f>Ativos!I176</f>
        <v>0</v>
      </c>
      <c r="I176">
        <f>Ativos!S176</f>
        <v>0</v>
      </c>
      <c r="J176" t="str">
        <f ca="1">Ativos!U176</f>
        <v>Sem data</v>
      </c>
      <c r="K176" s="3" t="str">
        <f>Ativos!R176</f>
        <v/>
      </c>
    </row>
    <row r="177" spans="1:11">
      <c r="A177">
        <f>Ativos!A177</f>
        <v>0</v>
      </c>
      <c r="B177" s="2" t="str">
        <f>Ativos!N177</f>
        <v/>
      </c>
      <c r="C177" t="str">
        <f>Ativos!O177</f>
        <v/>
      </c>
      <c r="D177" t="str">
        <f>Ativos!P177</f>
        <v/>
      </c>
      <c r="E177">
        <f>Ativos!C177</f>
        <v>0</v>
      </c>
      <c r="F177">
        <f>Ativos!E177</f>
        <v>0</v>
      </c>
      <c r="G177">
        <f>Ativos!G177</f>
        <v>0</v>
      </c>
      <c r="H177">
        <f>Ativos!I177</f>
        <v>0</v>
      </c>
      <c r="I177">
        <f>Ativos!S177</f>
        <v>0</v>
      </c>
      <c r="J177" t="str">
        <f ca="1">Ativos!U177</f>
        <v>Sem data</v>
      </c>
      <c r="K177" s="3" t="str">
        <f>Ativos!R177</f>
        <v/>
      </c>
    </row>
    <row r="178" spans="1:11">
      <c r="A178">
        <f>Ativos!A178</f>
        <v>0</v>
      </c>
      <c r="B178" s="2" t="str">
        <f>Ativos!N178</f>
        <v/>
      </c>
      <c r="C178" t="str">
        <f>Ativos!O178</f>
        <v/>
      </c>
      <c r="D178" t="str">
        <f>Ativos!P178</f>
        <v/>
      </c>
      <c r="E178">
        <f>Ativos!C178</f>
        <v>0</v>
      </c>
      <c r="F178">
        <f>Ativos!E178</f>
        <v>0</v>
      </c>
      <c r="G178">
        <f>Ativos!G178</f>
        <v>0</v>
      </c>
      <c r="H178">
        <f>Ativos!I178</f>
        <v>0</v>
      </c>
      <c r="I178">
        <f>Ativos!S178</f>
        <v>0</v>
      </c>
      <c r="J178" t="str">
        <f ca="1">Ativos!U178</f>
        <v>Sem data</v>
      </c>
      <c r="K178" s="3" t="str">
        <f>Ativos!R178</f>
        <v/>
      </c>
    </row>
    <row r="179" spans="1:11">
      <c r="A179">
        <f>Ativos!A179</f>
        <v>0</v>
      </c>
      <c r="B179" s="2" t="str">
        <f>Ativos!N179</f>
        <v/>
      </c>
      <c r="C179" t="str">
        <f>Ativos!O179</f>
        <v/>
      </c>
      <c r="D179" t="str">
        <f>Ativos!P179</f>
        <v/>
      </c>
      <c r="E179">
        <f>Ativos!C179</f>
        <v>0</v>
      </c>
      <c r="F179">
        <f>Ativos!E179</f>
        <v>0</v>
      </c>
      <c r="G179">
        <f>Ativos!G179</f>
        <v>0</v>
      </c>
      <c r="H179">
        <f>Ativos!I179</f>
        <v>0</v>
      </c>
      <c r="I179">
        <f>Ativos!S179</f>
        <v>0</v>
      </c>
      <c r="J179" t="str">
        <f ca="1">Ativos!U179</f>
        <v>Sem data</v>
      </c>
      <c r="K179" s="3" t="str">
        <f>Ativos!R179</f>
        <v/>
      </c>
    </row>
    <row r="180" spans="1:11">
      <c r="A180">
        <f>Ativos!A180</f>
        <v>0</v>
      </c>
      <c r="B180" s="2" t="str">
        <f>Ativos!N180</f>
        <v/>
      </c>
      <c r="C180" t="str">
        <f>Ativos!O180</f>
        <v/>
      </c>
      <c r="D180" t="str">
        <f>Ativos!P180</f>
        <v/>
      </c>
      <c r="E180">
        <f>Ativos!C180</f>
        <v>0</v>
      </c>
      <c r="F180">
        <f>Ativos!E180</f>
        <v>0</v>
      </c>
      <c r="G180">
        <f>Ativos!G180</f>
        <v>0</v>
      </c>
      <c r="H180">
        <f>Ativos!I180</f>
        <v>0</v>
      </c>
      <c r="I180">
        <f>Ativos!S180</f>
        <v>0</v>
      </c>
      <c r="J180" t="str">
        <f ca="1">Ativos!U180</f>
        <v>Sem data</v>
      </c>
      <c r="K180" s="3" t="str">
        <f>Ativos!R180</f>
        <v/>
      </c>
    </row>
    <row r="181" spans="1:11">
      <c r="A181">
        <f>Ativos!A181</f>
        <v>0</v>
      </c>
      <c r="B181" s="2" t="str">
        <f>Ativos!N181</f>
        <v/>
      </c>
      <c r="C181" t="str">
        <f>Ativos!O181</f>
        <v/>
      </c>
      <c r="D181" t="str">
        <f>Ativos!P181</f>
        <v/>
      </c>
      <c r="E181">
        <f>Ativos!C181</f>
        <v>0</v>
      </c>
      <c r="F181">
        <f>Ativos!E181</f>
        <v>0</v>
      </c>
      <c r="G181">
        <f>Ativos!G181</f>
        <v>0</v>
      </c>
      <c r="H181">
        <f>Ativos!I181</f>
        <v>0</v>
      </c>
      <c r="I181">
        <f>Ativos!S181</f>
        <v>0</v>
      </c>
      <c r="J181" t="str">
        <f ca="1">Ativos!U181</f>
        <v>Sem data</v>
      </c>
      <c r="K181" s="3" t="str">
        <f>Ativos!R181</f>
        <v/>
      </c>
    </row>
    <row r="182" spans="1:11">
      <c r="A182">
        <f>Ativos!A182</f>
        <v>0</v>
      </c>
      <c r="B182" s="2" t="str">
        <f>Ativos!N182</f>
        <v/>
      </c>
      <c r="C182" t="str">
        <f>Ativos!O182</f>
        <v/>
      </c>
      <c r="D182" t="str">
        <f>Ativos!P182</f>
        <v/>
      </c>
      <c r="E182">
        <f>Ativos!C182</f>
        <v>0</v>
      </c>
      <c r="F182">
        <f>Ativos!E182</f>
        <v>0</v>
      </c>
      <c r="G182">
        <f>Ativos!G182</f>
        <v>0</v>
      </c>
      <c r="H182">
        <f>Ativos!I182</f>
        <v>0</v>
      </c>
      <c r="I182">
        <f>Ativos!S182</f>
        <v>0</v>
      </c>
      <c r="J182" t="str">
        <f ca="1">Ativos!U182</f>
        <v>Sem data</v>
      </c>
      <c r="K182" s="3" t="str">
        <f>Ativos!R182</f>
        <v/>
      </c>
    </row>
    <row r="183" spans="1:11">
      <c r="A183">
        <f>Ativos!A183</f>
        <v>0</v>
      </c>
      <c r="B183" s="2" t="str">
        <f>Ativos!N183</f>
        <v/>
      </c>
      <c r="C183" t="str">
        <f>Ativos!O183</f>
        <v/>
      </c>
      <c r="D183" t="str">
        <f>Ativos!P183</f>
        <v/>
      </c>
      <c r="E183">
        <f>Ativos!C183</f>
        <v>0</v>
      </c>
      <c r="F183">
        <f>Ativos!E183</f>
        <v>0</v>
      </c>
      <c r="G183">
        <f>Ativos!G183</f>
        <v>0</v>
      </c>
      <c r="H183">
        <f>Ativos!I183</f>
        <v>0</v>
      </c>
      <c r="I183">
        <f>Ativos!S183</f>
        <v>0</v>
      </c>
      <c r="J183" t="str">
        <f ca="1">Ativos!U183</f>
        <v>Sem data</v>
      </c>
      <c r="K183" s="3" t="str">
        <f>Ativos!R183</f>
        <v/>
      </c>
    </row>
    <row r="184" spans="1:11">
      <c r="A184">
        <f>Ativos!A184</f>
        <v>0</v>
      </c>
      <c r="B184" s="2" t="str">
        <f>Ativos!N184</f>
        <v/>
      </c>
      <c r="C184" t="str">
        <f>Ativos!O184</f>
        <v/>
      </c>
      <c r="D184" t="str">
        <f>Ativos!P184</f>
        <v/>
      </c>
      <c r="E184">
        <f>Ativos!C184</f>
        <v>0</v>
      </c>
      <c r="F184">
        <f>Ativos!E184</f>
        <v>0</v>
      </c>
      <c r="G184">
        <f>Ativos!G184</f>
        <v>0</v>
      </c>
      <c r="H184">
        <f>Ativos!I184</f>
        <v>0</v>
      </c>
      <c r="I184">
        <f>Ativos!S184</f>
        <v>0</v>
      </c>
      <c r="J184" t="str">
        <f ca="1">Ativos!U184</f>
        <v>Sem data</v>
      </c>
      <c r="K184" s="3" t="str">
        <f>Ativos!R184</f>
        <v/>
      </c>
    </row>
    <row r="185" spans="1:11">
      <c r="A185">
        <f>Ativos!A185</f>
        <v>0</v>
      </c>
      <c r="B185" s="2" t="str">
        <f>Ativos!N185</f>
        <v/>
      </c>
      <c r="C185" t="str">
        <f>Ativos!O185</f>
        <v/>
      </c>
      <c r="D185" t="str">
        <f>Ativos!P185</f>
        <v/>
      </c>
      <c r="E185">
        <f>Ativos!C185</f>
        <v>0</v>
      </c>
      <c r="F185">
        <f>Ativos!E185</f>
        <v>0</v>
      </c>
      <c r="G185">
        <f>Ativos!G185</f>
        <v>0</v>
      </c>
      <c r="H185">
        <f>Ativos!I185</f>
        <v>0</v>
      </c>
      <c r="I185">
        <f>Ativos!S185</f>
        <v>0</v>
      </c>
      <c r="J185" t="str">
        <f ca="1">Ativos!U185</f>
        <v>Sem data</v>
      </c>
      <c r="K185" s="3" t="str">
        <f>Ativos!R185</f>
        <v/>
      </c>
    </row>
    <row r="186" spans="1:11">
      <c r="A186">
        <f>Ativos!A186</f>
        <v>0</v>
      </c>
      <c r="B186" s="2" t="str">
        <f>Ativos!N186</f>
        <v/>
      </c>
      <c r="C186" t="str">
        <f>Ativos!O186</f>
        <v/>
      </c>
      <c r="D186" t="str">
        <f>Ativos!P186</f>
        <v/>
      </c>
      <c r="E186">
        <f>Ativos!C186</f>
        <v>0</v>
      </c>
      <c r="F186">
        <f>Ativos!E186</f>
        <v>0</v>
      </c>
      <c r="G186">
        <f>Ativos!G186</f>
        <v>0</v>
      </c>
      <c r="H186">
        <f>Ativos!I186</f>
        <v>0</v>
      </c>
      <c r="I186">
        <f>Ativos!S186</f>
        <v>0</v>
      </c>
      <c r="J186" t="str">
        <f ca="1">Ativos!U186</f>
        <v>Sem data</v>
      </c>
      <c r="K186" s="3" t="str">
        <f>Ativos!R186</f>
        <v/>
      </c>
    </row>
    <row r="187" spans="1:11">
      <c r="A187">
        <f>Ativos!A187</f>
        <v>0</v>
      </c>
      <c r="B187" s="2" t="str">
        <f>Ativos!N187</f>
        <v/>
      </c>
      <c r="C187" t="str">
        <f>Ativos!O187</f>
        <v/>
      </c>
      <c r="D187" t="str">
        <f>Ativos!P187</f>
        <v/>
      </c>
      <c r="E187">
        <f>Ativos!C187</f>
        <v>0</v>
      </c>
      <c r="F187">
        <f>Ativos!E187</f>
        <v>0</v>
      </c>
      <c r="G187">
        <f>Ativos!G187</f>
        <v>0</v>
      </c>
      <c r="H187">
        <f>Ativos!I187</f>
        <v>0</v>
      </c>
      <c r="I187">
        <f>Ativos!S187</f>
        <v>0</v>
      </c>
      <c r="J187" t="str">
        <f ca="1">Ativos!U187</f>
        <v>Sem data</v>
      </c>
      <c r="K187" s="3" t="str">
        <f>Ativos!R187</f>
        <v/>
      </c>
    </row>
    <row r="188" spans="1:11">
      <c r="A188">
        <f>Ativos!A188</f>
        <v>0</v>
      </c>
      <c r="B188" s="2" t="str">
        <f>Ativos!N188</f>
        <v/>
      </c>
      <c r="C188" t="str">
        <f>Ativos!O188</f>
        <v/>
      </c>
      <c r="D188" t="str">
        <f>Ativos!P188</f>
        <v/>
      </c>
      <c r="E188">
        <f>Ativos!C188</f>
        <v>0</v>
      </c>
      <c r="F188">
        <f>Ativos!E188</f>
        <v>0</v>
      </c>
      <c r="G188">
        <f>Ativos!G188</f>
        <v>0</v>
      </c>
      <c r="H188">
        <f>Ativos!I188</f>
        <v>0</v>
      </c>
      <c r="I188">
        <f>Ativos!S188</f>
        <v>0</v>
      </c>
      <c r="J188" t="str">
        <f ca="1">Ativos!U188</f>
        <v>Sem data</v>
      </c>
      <c r="K188" s="3" t="str">
        <f>Ativos!R188</f>
        <v/>
      </c>
    </row>
    <row r="189" spans="1:11">
      <c r="A189">
        <f>Ativos!A189</f>
        <v>0</v>
      </c>
      <c r="B189" s="2" t="str">
        <f>Ativos!N189</f>
        <v/>
      </c>
      <c r="C189" t="str">
        <f>Ativos!O189</f>
        <v/>
      </c>
      <c r="D189" t="str">
        <f>Ativos!P189</f>
        <v/>
      </c>
      <c r="E189">
        <f>Ativos!C189</f>
        <v>0</v>
      </c>
      <c r="F189">
        <f>Ativos!E189</f>
        <v>0</v>
      </c>
      <c r="G189">
        <f>Ativos!G189</f>
        <v>0</v>
      </c>
      <c r="H189">
        <f>Ativos!I189</f>
        <v>0</v>
      </c>
      <c r="I189">
        <f>Ativos!S189</f>
        <v>0</v>
      </c>
      <c r="J189" t="str">
        <f ca="1">Ativos!U189</f>
        <v>Sem data</v>
      </c>
      <c r="K189" s="3" t="str">
        <f>Ativos!R189</f>
        <v/>
      </c>
    </row>
    <row r="190" spans="1:11">
      <c r="A190">
        <f>Ativos!A190</f>
        <v>0</v>
      </c>
      <c r="B190" s="2" t="str">
        <f>Ativos!N190</f>
        <v/>
      </c>
      <c r="C190" t="str">
        <f>Ativos!O190</f>
        <v/>
      </c>
      <c r="D190" t="str">
        <f>Ativos!P190</f>
        <v/>
      </c>
      <c r="E190">
        <f>Ativos!C190</f>
        <v>0</v>
      </c>
      <c r="F190">
        <f>Ativos!E190</f>
        <v>0</v>
      </c>
      <c r="G190">
        <f>Ativos!G190</f>
        <v>0</v>
      </c>
      <c r="H190">
        <f>Ativos!I190</f>
        <v>0</v>
      </c>
      <c r="I190">
        <f>Ativos!S190</f>
        <v>0</v>
      </c>
      <c r="J190" t="str">
        <f ca="1">Ativos!U190</f>
        <v>Sem data</v>
      </c>
      <c r="K190" s="3" t="str">
        <f>Ativos!R190</f>
        <v/>
      </c>
    </row>
    <row r="191" spans="1:11">
      <c r="A191">
        <f>Ativos!A191</f>
        <v>0</v>
      </c>
      <c r="B191" s="2" t="str">
        <f>Ativos!N191</f>
        <v/>
      </c>
      <c r="C191" t="str">
        <f>Ativos!O191</f>
        <v/>
      </c>
      <c r="D191" t="str">
        <f>Ativos!P191</f>
        <v/>
      </c>
      <c r="E191">
        <f>Ativos!C191</f>
        <v>0</v>
      </c>
      <c r="F191">
        <f>Ativos!E191</f>
        <v>0</v>
      </c>
      <c r="G191">
        <f>Ativos!G191</f>
        <v>0</v>
      </c>
      <c r="H191">
        <f>Ativos!I191</f>
        <v>0</v>
      </c>
      <c r="I191">
        <f>Ativos!S191</f>
        <v>0</v>
      </c>
      <c r="J191" t="str">
        <f ca="1">Ativos!U191</f>
        <v>Sem data</v>
      </c>
      <c r="K191" s="3" t="str">
        <f>Ativos!R191</f>
        <v/>
      </c>
    </row>
    <row r="192" spans="1:11">
      <c r="A192">
        <f>Ativos!A192</f>
        <v>0</v>
      </c>
      <c r="B192" s="2" t="str">
        <f>Ativos!N192</f>
        <v/>
      </c>
      <c r="C192" t="str">
        <f>Ativos!O192</f>
        <v/>
      </c>
      <c r="D192" t="str">
        <f>Ativos!P192</f>
        <v/>
      </c>
      <c r="E192">
        <f>Ativos!C192</f>
        <v>0</v>
      </c>
      <c r="F192">
        <f>Ativos!E192</f>
        <v>0</v>
      </c>
      <c r="G192">
        <f>Ativos!G192</f>
        <v>0</v>
      </c>
      <c r="H192">
        <f>Ativos!I192</f>
        <v>0</v>
      </c>
      <c r="I192">
        <f>Ativos!S192</f>
        <v>0</v>
      </c>
      <c r="J192" t="str">
        <f ca="1">Ativos!U192</f>
        <v>Sem data</v>
      </c>
      <c r="K192" s="3" t="str">
        <f>Ativos!R192</f>
        <v/>
      </c>
    </row>
    <row r="193" spans="1:11">
      <c r="A193">
        <f>Ativos!A193</f>
        <v>0</v>
      </c>
      <c r="B193" s="2" t="str">
        <f>Ativos!N193</f>
        <v/>
      </c>
      <c r="C193" t="str">
        <f>Ativos!O193</f>
        <v/>
      </c>
      <c r="D193" t="str">
        <f>Ativos!P193</f>
        <v/>
      </c>
      <c r="E193">
        <f>Ativos!C193</f>
        <v>0</v>
      </c>
      <c r="F193">
        <f>Ativos!E193</f>
        <v>0</v>
      </c>
      <c r="G193">
        <f>Ativos!G193</f>
        <v>0</v>
      </c>
      <c r="H193">
        <f>Ativos!I193</f>
        <v>0</v>
      </c>
      <c r="I193">
        <f>Ativos!S193</f>
        <v>0</v>
      </c>
      <c r="J193" t="str">
        <f ca="1">Ativos!U193</f>
        <v>Sem data</v>
      </c>
      <c r="K193" s="3" t="str">
        <f>Ativos!R193</f>
        <v/>
      </c>
    </row>
    <row r="194" spans="1:11">
      <c r="A194">
        <f>Ativos!A194</f>
        <v>0</v>
      </c>
      <c r="B194" s="2" t="str">
        <f>Ativos!N194</f>
        <v/>
      </c>
      <c r="C194" t="str">
        <f>Ativos!O194</f>
        <v/>
      </c>
      <c r="D194" t="str">
        <f>Ativos!P194</f>
        <v/>
      </c>
      <c r="E194">
        <f>Ativos!C194</f>
        <v>0</v>
      </c>
      <c r="F194">
        <f>Ativos!E194</f>
        <v>0</v>
      </c>
      <c r="G194">
        <f>Ativos!G194</f>
        <v>0</v>
      </c>
      <c r="H194">
        <f>Ativos!I194</f>
        <v>0</v>
      </c>
      <c r="I194">
        <f>Ativos!S194</f>
        <v>0</v>
      </c>
      <c r="J194" t="str">
        <f ca="1">Ativos!U194</f>
        <v>Sem data</v>
      </c>
      <c r="K194" s="3" t="str">
        <f>Ativos!R194</f>
        <v/>
      </c>
    </row>
    <row r="195" spans="1:11">
      <c r="A195">
        <f>Ativos!A195</f>
        <v>0</v>
      </c>
      <c r="B195" s="2" t="str">
        <f>Ativos!N195</f>
        <v/>
      </c>
      <c r="C195" t="str">
        <f>Ativos!O195</f>
        <v/>
      </c>
      <c r="D195" t="str">
        <f>Ativos!P195</f>
        <v/>
      </c>
      <c r="E195">
        <f>Ativos!C195</f>
        <v>0</v>
      </c>
      <c r="F195">
        <f>Ativos!E195</f>
        <v>0</v>
      </c>
      <c r="G195">
        <f>Ativos!G195</f>
        <v>0</v>
      </c>
      <c r="H195">
        <f>Ativos!I195</f>
        <v>0</v>
      </c>
      <c r="I195">
        <f>Ativos!S195</f>
        <v>0</v>
      </c>
      <c r="J195" t="str">
        <f ca="1">Ativos!U195</f>
        <v>Sem data</v>
      </c>
      <c r="K195" s="3" t="str">
        <f>Ativos!R195</f>
        <v/>
      </c>
    </row>
    <row r="196" spans="1:11">
      <c r="A196">
        <f>Ativos!A196</f>
        <v>0</v>
      </c>
      <c r="B196" s="2" t="str">
        <f>Ativos!N196</f>
        <v/>
      </c>
      <c r="C196" t="str">
        <f>Ativos!O196</f>
        <v/>
      </c>
      <c r="D196" t="str">
        <f>Ativos!P196</f>
        <v/>
      </c>
      <c r="E196">
        <f>Ativos!C196</f>
        <v>0</v>
      </c>
      <c r="F196">
        <f>Ativos!E196</f>
        <v>0</v>
      </c>
      <c r="G196">
        <f>Ativos!G196</f>
        <v>0</v>
      </c>
      <c r="H196">
        <f>Ativos!I196</f>
        <v>0</v>
      </c>
      <c r="I196">
        <f>Ativos!S196</f>
        <v>0</v>
      </c>
      <c r="J196" t="str">
        <f ca="1">Ativos!U196</f>
        <v>Sem data</v>
      </c>
      <c r="K196" s="3" t="str">
        <f>Ativos!R196</f>
        <v/>
      </c>
    </row>
    <row r="197" spans="1:11">
      <c r="A197">
        <f>Ativos!A197</f>
        <v>0</v>
      </c>
      <c r="B197" s="2" t="str">
        <f>Ativos!N197</f>
        <v/>
      </c>
      <c r="C197" t="str">
        <f>Ativos!O197</f>
        <v/>
      </c>
      <c r="D197" t="str">
        <f>Ativos!P197</f>
        <v/>
      </c>
      <c r="E197">
        <f>Ativos!C197</f>
        <v>0</v>
      </c>
      <c r="F197">
        <f>Ativos!E197</f>
        <v>0</v>
      </c>
      <c r="G197">
        <f>Ativos!G197</f>
        <v>0</v>
      </c>
      <c r="H197">
        <f>Ativos!I197</f>
        <v>0</v>
      </c>
      <c r="I197">
        <f>Ativos!S197</f>
        <v>0</v>
      </c>
      <c r="J197" t="str">
        <f ca="1">Ativos!U197</f>
        <v>Sem data</v>
      </c>
      <c r="K197" s="3" t="str">
        <f>Ativos!R197</f>
        <v/>
      </c>
    </row>
    <row r="198" spans="1:11">
      <c r="A198">
        <f>Ativos!A198</f>
        <v>0</v>
      </c>
      <c r="B198" s="2" t="str">
        <f>Ativos!N198</f>
        <v/>
      </c>
      <c r="C198" t="str">
        <f>Ativos!O198</f>
        <v/>
      </c>
      <c r="D198" t="str">
        <f>Ativos!P198</f>
        <v/>
      </c>
      <c r="E198">
        <f>Ativos!C198</f>
        <v>0</v>
      </c>
      <c r="F198">
        <f>Ativos!E198</f>
        <v>0</v>
      </c>
      <c r="G198">
        <f>Ativos!G198</f>
        <v>0</v>
      </c>
      <c r="H198">
        <f>Ativos!I198</f>
        <v>0</v>
      </c>
      <c r="I198">
        <f>Ativos!S198</f>
        <v>0</v>
      </c>
      <c r="J198" t="str">
        <f ca="1">Ativos!U198</f>
        <v>Sem data</v>
      </c>
      <c r="K198" s="3" t="str">
        <f>Ativos!R198</f>
        <v/>
      </c>
    </row>
    <row r="199" spans="1:11">
      <c r="A199">
        <f>Ativos!A199</f>
        <v>0</v>
      </c>
      <c r="B199" s="2" t="str">
        <f>Ativos!N199</f>
        <v/>
      </c>
      <c r="C199" t="str">
        <f>Ativos!O199</f>
        <v/>
      </c>
      <c r="D199" t="str">
        <f>Ativos!P199</f>
        <v/>
      </c>
      <c r="E199">
        <f>Ativos!C199</f>
        <v>0</v>
      </c>
      <c r="F199">
        <f>Ativos!E199</f>
        <v>0</v>
      </c>
      <c r="G199">
        <f>Ativos!G199</f>
        <v>0</v>
      </c>
      <c r="H199">
        <f>Ativos!I199</f>
        <v>0</v>
      </c>
      <c r="I199">
        <f>Ativos!S199</f>
        <v>0</v>
      </c>
      <c r="J199" t="str">
        <f ca="1">Ativos!U199</f>
        <v>Sem data</v>
      </c>
      <c r="K199" s="3" t="str">
        <f>Ativos!R199</f>
        <v/>
      </c>
    </row>
    <row r="200" spans="1:11">
      <c r="A200">
        <f>Ativos!A200</f>
        <v>0</v>
      </c>
      <c r="B200" s="2" t="str">
        <f>Ativos!N200</f>
        <v/>
      </c>
      <c r="C200" t="str">
        <f>Ativos!O200</f>
        <v/>
      </c>
      <c r="D200" t="str">
        <f>Ativos!P200</f>
        <v/>
      </c>
      <c r="E200">
        <f>Ativos!C200</f>
        <v>0</v>
      </c>
      <c r="F200">
        <f>Ativos!E200</f>
        <v>0</v>
      </c>
      <c r="G200">
        <f>Ativos!G200</f>
        <v>0</v>
      </c>
      <c r="H200">
        <f>Ativos!I200</f>
        <v>0</v>
      </c>
      <c r="I200">
        <f>Ativos!S200</f>
        <v>0</v>
      </c>
      <c r="J200" t="str">
        <f ca="1">Ativos!U200</f>
        <v>Sem data</v>
      </c>
      <c r="K200" s="3" t="str">
        <f>Ativos!R200</f>
        <v/>
      </c>
    </row>
  </sheetData>
  <conditionalFormatting sqref="J2:J200">
    <cfRule type="expression" dxfId="2" priority="1">
      <formula>J2="Vencido"</formula>
    </cfRule>
    <cfRule type="expression" dxfId="1" priority="2">
      <formula>J2="Próx. 30 dias"</formula>
    </cfRule>
    <cfRule type="expression" dxfId="0" priority="3">
      <formula>J2="Próx. 90 dias"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8"/>
  <sheetViews>
    <sheetView workbookViewId="0">
      <selection activeCell="K7" sqref="K7"/>
    </sheetView>
  </sheetViews>
  <sheetFormatPr defaultRowHeight="14.25"/>
  <cols>
    <col min="1" max="1" width="8.5" customWidth="1"/>
    <col min="3" max="3" width="11.125" customWidth="1"/>
    <col min="5" max="5" width="6.875" customWidth="1"/>
    <col min="7" max="7" width="14.25" customWidth="1"/>
    <col min="9" max="9" width="17.875" customWidth="1"/>
    <col min="11" max="11" width="10.125" customWidth="1"/>
  </cols>
  <sheetData>
    <row r="1" spans="1:11" ht="30">
      <c r="A1" s="1" t="s">
        <v>63</v>
      </c>
      <c r="B1" s="1"/>
      <c r="C1" s="1" t="s">
        <v>64</v>
      </c>
      <c r="D1" s="1"/>
      <c r="E1" s="1" t="s">
        <v>56</v>
      </c>
      <c r="F1" s="1"/>
      <c r="G1" s="1" t="s">
        <v>6</v>
      </c>
      <c r="H1" s="1"/>
      <c r="I1" s="1" t="s">
        <v>8</v>
      </c>
      <c r="J1" s="1"/>
      <c r="K1" s="1" t="s">
        <v>65</v>
      </c>
    </row>
    <row r="2" spans="1:11">
      <c r="A2" t="s">
        <v>84</v>
      </c>
      <c r="C2" t="s">
        <v>77</v>
      </c>
      <c r="E2" t="s">
        <v>75</v>
      </c>
      <c r="G2" t="str" cm="1">
        <f t="array" ref="G2:G13">_xlfn._xlws.SORT(_xlfn.UNIQUE(_xlfn._xlws.FILTER(TabelaSistemas[Sistema],TabelaSistemas[Sistema]&lt;&gt;"")))</f>
        <v>Climatização</v>
      </c>
      <c r="I2" t="str" cm="1">
        <f t="array" ref="I2:I18">_xlfn._xlws.SORT(_xlfn.UNIQUE(_xlfn._xlws.FILTER(TabelaAmbientes[Ambiente],TabelaAmbientes[Ambiente]&lt;&gt;"")))</f>
        <v>Área de serviço</v>
      </c>
      <c r="K2" t="s">
        <v>196</v>
      </c>
    </row>
    <row r="3" spans="1:11">
      <c r="A3" t="s">
        <v>76</v>
      </c>
      <c r="C3" t="s">
        <v>97</v>
      </c>
      <c r="E3" t="s">
        <v>118</v>
      </c>
      <c r="G3" t="str">
        <v>Drenagem</v>
      </c>
      <c r="I3" t="str">
        <v>Banheiro dependência</v>
      </c>
      <c r="K3" t="s">
        <v>197</v>
      </c>
    </row>
    <row r="4" spans="1:11">
      <c r="A4" t="s">
        <v>96</v>
      </c>
      <c r="C4" t="s">
        <v>198</v>
      </c>
      <c r="E4" t="s">
        <v>131</v>
      </c>
      <c r="G4" t="str">
        <v>Elétrico</v>
      </c>
      <c r="I4" t="str">
        <v>Banheiro suíte 1</v>
      </c>
      <c r="K4" t="s">
        <v>199</v>
      </c>
    </row>
    <row r="5" spans="1:11">
      <c r="A5" t="s">
        <v>200</v>
      </c>
      <c r="C5" t="s">
        <v>201</v>
      </c>
      <c r="E5" t="s">
        <v>202</v>
      </c>
      <c r="G5" t="str">
        <v>Esgoto</v>
      </c>
      <c r="I5" t="str">
        <v>Banheiro suíte 2</v>
      </c>
      <c r="K5" t="s">
        <v>203</v>
      </c>
    </row>
    <row r="6" spans="1:11">
      <c r="E6" t="s">
        <v>204</v>
      </c>
      <c r="G6" t="str">
        <v>Esquadrias</v>
      </c>
      <c r="I6" t="str">
        <v>Banheiro suíte 3</v>
      </c>
      <c r="K6" t="s">
        <v>205</v>
      </c>
    </row>
    <row r="7" spans="1:11">
      <c r="E7" t="s">
        <v>206</v>
      </c>
      <c r="G7" t="str">
        <v>Gás</v>
      </c>
      <c r="I7" t="str">
        <v>Copa/cozinha</v>
      </c>
    </row>
    <row r="8" spans="1:11">
      <c r="G8" t="str">
        <v>Hidráulico</v>
      </c>
      <c r="I8" t="str">
        <v>Escritório 1</v>
      </c>
    </row>
    <row r="9" spans="1:11">
      <c r="G9" t="str">
        <v>Iluminação</v>
      </c>
      <c r="I9" t="str">
        <v>Escritório 2</v>
      </c>
    </row>
    <row r="10" spans="1:11">
      <c r="G10" t="str">
        <v>Marcenaria</v>
      </c>
      <c r="I10" t="str">
        <v>Externo</v>
      </c>
    </row>
    <row r="11" spans="1:11">
      <c r="G11" t="str">
        <v>Pintura</v>
      </c>
      <c r="I11" t="str">
        <v>Lavabo</v>
      </c>
    </row>
    <row r="12" spans="1:11">
      <c r="G12" t="str">
        <v>Revestimentos</v>
      </c>
      <c r="I12" t="str">
        <v>Oficina</v>
      </c>
    </row>
    <row r="13" spans="1:11">
      <c r="G13" t="str">
        <v>Segurança/acesso</v>
      </c>
      <c r="I13" t="str">
        <v>Sala</v>
      </c>
    </row>
    <row r="14" spans="1:11">
      <c r="I14" t="str">
        <v>Suíte 1</v>
      </c>
    </row>
    <row r="15" spans="1:11">
      <c r="I15" t="str">
        <v>Suíte 2</v>
      </c>
    </row>
    <row r="16" spans="1:11">
      <c r="I16" t="str">
        <v>Suíte 3</v>
      </c>
    </row>
    <row r="17" spans="9:9">
      <c r="I17" t="str">
        <v>Suíte dependência</v>
      </c>
    </row>
    <row r="18" spans="9:9">
      <c r="I18" t="str">
        <v>Varanda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FD8D7-B9C8-4C75-A991-60FE5DD0DA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Dashboard</vt:lpstr>
      <vt:lpstr>Planilha1</vt:lpstr>
      <vt:lpstr>Ativos</vt:lpstr>
      <vt:lpstr>Ambientes</vt:lpstr>
      <vt:lpstr>Sistemas</vt:lpstr>
      <vt:lpstr>Rotinas</vt:lpstr>
      <vt:lpstr>Cronograma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lenz costa lima</cp:lastModifiedBy>
  <dcterms:modified xsi:type="dcterms:W3CDTF">2026-05-30T15:16:32Z</dcterms:modified>
</cp:coreProperties>
</file>